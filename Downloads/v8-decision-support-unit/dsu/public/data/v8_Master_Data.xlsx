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s/Downloads/"/>
    </mc:Choice>
  </mc:AlternateContent>
  <xr:revisionPtr revIDLastSave="0" documentId="13_ncr:1_{610B1D4F-B4AE-D64B-8B7B-5C5D1FFED438}" xr6:coauthVersionLast="47" xr6:coauthVersionMax="47" xr10:uidLastSave="{00000000-0000-0000-0000-000000000000}"/>
  <bookViews>
    <workbookView xWindow="0" yWindow="680" windowWidth="34200" windowHeight="20020" tabRatio="500" activeTab="4" xr2:uid="{00000000-000D-0000-FFFF-FFFF00000000}"/>
  </bookViews>
  <sheets>
    <sheet name="00_README" sheetId="1" r:id="rId1"/>
    <sheet name="01_Transformers" sheetId="2" r:id="rId2"/>
    <sheet name="02_Lines_DLR" sheetId="3" r:id="rId3"/>
    <sheet name="03_Towers_Drone" sheetId="4" r:id="rId4"/>
    <sheet name="04_STATCOM_Substations" sheetId="5" r:id="rId5"/>
    <sheet name="05_SCADA_System" sheetId="6" r:id="rId6"/>
    <sheet name="06_PowerPurchase" sheetId="7" r:id="rId7"/>
    <sheet name="07_SalesMix" sheetId="8" r:id="rId8"/>
    <sheet name="08_Subsidy" sheetId="9" r:id="rId9"/>
    <sheet name="09_OpenAccess" sheetId="10" r:id="rId10"/>
    <sheet name="10_ESCOM_Reliability" sheetId="11" r:id="rId11"/>
    <sheet name="11_Network_Assets" sheetId="12" r:id="rId12"/>
    <sheet name="12_GFA_Debt" sheetId="13" r:id="rId13"/>
    <sheet name="13_ThermalStations" sheetId="14" r:id="rId14"/>
    <sheet name="14_EHS_Monitoring" sheetId="15" r:id="rId15"/>
    <sheet name="15_Carbon_Credits" sheetId="16" r:id="rId16"/>
    <sheet name="16_Incidents" sheetId="17" r:id="rId17"/>
    <sheet name="17_Maintenance" sheetId="18" r:id="rId18"/>
    <sheet name="18_Outage_Impact" sheetId="19" r:id="rId1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16" l="1"/>
  <c r="C21" i="16"/>
  <c r="B21" i="16"/>
  <c r="F14" i="8"/>
  <c r="C14" i="8"/>
  <c r="D13" i="8"/>
  <c r="D12" i="8"/>
  <c r="D11" i="8"/>
  <c r="D10" i="8"/>
  <c r="D14" i="8" s="1"/>
  <c r="D9" i="8"/>
  <c r="D8" i="8"/>
  <c r="D7" i="8"/>
  <c r="F14" i="7"/>
  <c r="E14" i="7"/>
  <c r="D1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4" authorId="0" shapeId="0" xr:uid="{00000000-0006-0000-0600-000001000000}">
      <text>
        <r>
          <rPr>
            <sz val="10"/>
            <rFont val="Arial"/>
            <family val="2"/>
          </rPr>
          <t>APPC = Total Cost(₹Cr)*10 / Total MU — verify formula vs KERC convention</t>
        </r>
      </text>
    </comment>
  </commentList>
</comments>
</file>

<file path=xl/sharedStrings.xml><?xml version="1.0" encoding="utf-8"?>
<sst xmlns="http://schemas.openxmlformats.org/spreadsheetml/2006/main" count="906" uniqueCount="616">
  <si>
    <t>KPTCL DSU — Master Data V8</t>
  </si>
  <si>
    <t>Decision Support Unit · Index &amp; Data Collection Guide</t>
  </si>
  <si>
    <t>Purpose</t>
  </si>
  <si>
    <t>This workbook is the single source of truth feeding the KPTCL DSU dashboard (dsu_dashboard.html). Every figure currently simulated/hardcoded in the live tool is listed here by sheet, ready for you to replace with verified historical and live data from KPTCL/ESCOM systems.</t>
  </si>
  <si>
    <t>Legend</t>
  </si>
  <si>
    <t>Blue text</t>
  </si>
  <si>
    <t>Placeholder / assumption value — replace with actual data</t>
  </si>
  <si>
    <t>Yellow fill</t>
  </si>
  <si>
    <t>Field requires a data source — currently unsourced</t>
  </si>
  <si>
    <t>Black text</t>
  </si>
  <si>
    <t>Formula or calculated field — do not overwrite directly</t>
  </si>
  <si>
    <t>Green text</t>
  </si>
  <si>
    <t>Linked from another sheet in this workbook</t>
  </si>
  <si>
    <t>Sheet Index</t>
  </si>
  <si>
    <t>#</t>
  </si>
  <si>
    <t>Sheet Name</t>
  </si>
  <si>
    <t>Domain</t>
  </si>
  <si>
    <t>Feeds Dashboard Tab</t>
  </si>
  <si>
    <t>Suggested Data Source System</t>
  </si>
  <si>
    <t>Update Frequency</t>
  </si>
  <si>
    <t>1</t>
  </si>
  <si>
    <t>01_Transformers</t>
  </si>
  <si>
    <t>Power transformer master + live sensor fields</t>
  </si>
  <si>
    <t>Grid Monitor / Overview</t>
  </si>
  <si>
    <t>SCADA historian, DGA lab, asset register</t>
  </si>
  <si>
    <t>Real-time / Daily</t>
  </si>
  <si>
    <t>2</t>
  </si>
  <si>
    <t>02_Lines_DLR</t>
  </si>
  <si>
    <t>Transmission line master + DLR sensor fields</t>
  </si>
  <si>
    <t>SCADA, DLR sensor vendor (e.g. Ampacimon, Lindsey), GIS</t>
  </si>
  <si>
    <t>Real-time / Hourly</t>
  </si>
  <si>
    <t>3</t>
  </si>
  <si>
    <t>03_Towers_Drone</t>
  </si>
  <si>
    <t>Transmission tower master + drone inspection log</t>
  </si>
  <si>
    <t>Grid Monitor</t>
  </si>
  <si>
    <t>Drone inspection vendor reports, GIS, O&amp;M records</t>
  </si>
  <si>
    <t>Per inspection cycle</t>
  </si>
  <si>
    <t>4</t>
  </si>
  <si>
    <t>04_STATCOM_Substations</t>
  </si>
  <si>
    <t>STATCOM &amp; substation master data</t>
  </si>
  <si>
    <t>SCADA, substation asset register</t>
  </si>
  <si>
    <t>5</t>
  </si>
  <si>
    <t>05_SCADA_System</t>
  </si>
  <si>
    <t>Grid frequency, generation, load, reserves</t>
  </si>
  <si>
    <t>SLDC SCADA/EMS system</t>
  </si>
  <si>
    <t>Real-time (15-min blocks)</t>
  </si>
  <si>
    <t>6</t>
  </si>
  <si>
    <t>06_PowerPurchase</t>
  </si>
  <si>
    <t>Source-wise power purchase mix &amp; cost FY</t>
  </si>
  <si>
    <t>Commercial</t>
  </si>
  <si>
    <t>KPCL billing, PPAs, IEX/PXIL exchange records</t>
  </si>
  <si>
    <t>Monthly</t>
  </si>
  <si>
    <t>7</t>
  </si>
  <si>
    <t>07_SalesMix</t>
  </si>
  <si>
    <t>Consumer category sales, tariff, revenue</t>
  </si>
  <si>
    <t>ESCOM billing systems (e.g. Oracle CC&amp;B), tariff orders</t>
  </si>
  <si>
    <t>8</t>
  </si>
  <si>
    <t>08_Subsidy</t>
  </si>
  <si>
    <t>GoK/GoI subsidy schemes &amp; burden</t>
  </si>
  <si>
    <t>Commercial / EHS</t>
  </si>
  <si>
    <t>Energy Dept GoK budget docs, ESCOM subsidy claims</t>
  </si>
  <si>
    <t>Quarterly</t>
  </si>
  <si>
    <t>9</t>
  </si>
  <si>
    <t>09_OpenAccess</t>
  </si>
  <si>
    <t>Open access volumes &amp; revenue impact</t>
  </si>
  <si>
    <t>ESCOM OA cell records, KERC OA approvals</t>
  </si>
  <si>
    <t>10</t>
  </si>
  <si>
    <t>10_ESCOM_Reliability</t>
  </si>
  <si>
    <t>SAIDI/SAIFI/AT&amp;C/DT failure by ESCOM</t>
  </si>
  <si>
    <t>Reliability</t>
  </si>
  <si>
    <t>ESCOM MIS, CEA reliability reports, RDSS portal</t>
  </si>
  <si>
    <t>Monthly/Quarterly</t>
  </si>
  <si>
    <t>11</t>
  </si>
  <si>
    <t>11_Network_Assets</t>
  </si>
  <si>
    <t>Substations, feeders, DTs, line km by ESCOM</t>
  </si>
  <si>
    <t>ESCOM asset GIS, annual reports</t>
  </si>
  <si>
    <t>Annual / on change</t>
  </si>
  <si>
    <t>12</t>
  </si>
  <si>
    <t>12_GFA_Debt</t>
  </si>
  <si>
    <t>Gross fixed assets &amp; debt by ESCOM/KPTCL</t>
  </si>
  <si>
    <t>Audited financial statements, KERC tariff filings</t>
  </si>
  <si>
    <t>Annual</t>
  </si>
  <si>
    <t>13</t>
  </si>
  <si>
    <t>13_ThermalStations</t>
  </si>
  <si>
    <t>Thermal generating station performance</t>
  </si>
  <si>
    <t>Reliability / EHS</t>
  </si>
  <si>
    <t>KPCL generation MIS, CEA PLF reports</t>
  </si>
  <si>
    <t>14</t>
  </si>
  <si>
    <t>14_EHS_Monitoring</t>
  </si>
  <si>
    <t>EHS hazard register — arc flash, SF6, vegetation etc.</t>
  </si>
  <si>
    <t>EHS &amp; Carbon</t>
  </si>
  <si>
    <t>Safety audits, SF6 gas monitoring system, LiDAR survey</t>
  </si>
  <si>
    <t>Per audit / continuous</t>
  </si>
  <si>
    <t>15</t>
  </si>
  <si>
    <t>15_Carbon_Credits</t>
  </si>
  <si>
    <t>Carbon intensity &amp; credit potential levers</t>
  </si>
  <si>
    <t>CEA CO2 baseline database, BEE PAT scheme, internal loss studies</t>
  </si>
  <si>
    <t>16</t>
  </si>
  <si>
    <t>16_Incidents</t>
  </si>
  <si>
    <t>Incident / fault log with MTTR tracking</t>
  </si>
  <si>
    <t>Incidents</t>
  </si>
  <si>
    <t>SCADA alarm log, O&amp;M trouble ticketing system</t>
  </si>
  <si>
    <t>Real-time</t>
  </si>
  <si>
    <t>17</t>
  </si>
  <si>
    <t>17_Maintenance</t>
  </si>
  <si>
    <t>Maintenance schedule &amp; work orders</t>
  </si>
  <si>
    <t>CMMS / SAP PM module</t>
  </si>
  <si>
    <t>18</t>
  </si>
  <si>
    <t>18_Outage_Impact</t>
  </si>
  <si>
    <t>N-1 contingency / outage cascade simulation refs</t>
  </si>
  <si>
    <t>SLDC contingency analysis, planning studies</t>
  </si>
  <si>
    <t>Annual / on network change</t>
  </si>
  <si>
    <t>Power Transformers — Master &amp; Sensor Data</t>
  </si>
  <si>
    <t>Cells highlighted YELLOW need a data source / actual figure filled in. BLUE text = current placeholder value (replace with real data). Add 'Source' column entries as: System/Document, Date, Reference.</t>
  </si>
  <si>
    <t>Transformer ID</t>
  </si>
  <si>
    <t>Name</t>
  </si>
  <si>
    <t>Substation</t>
  </si>
  <si>
    <t>Latitude</t>
  </si>
  <si>
    <t>Longitude</t>
  </si>
  <si>
    <t>Capacity (MVA)</t>
  </si>
  <si>
    <t>Voltage Primary (kV)</t>
  </si>
  <si>
    <t>Voltage Secondary (kV)</t>
  </si>
  <si>
    <t>Commissioning Year</t>
  </si>
  <si>
    <t>Make/OEM</t>
  </si>
  <si>
    <t>Current Load %</t>
  </si>
  <si>
    <t>Oil Temp °C (live)</t>
  </si>
  <si>
    <t>Health Status</t>
  </si>
  <si>
    <t>Data Source</t>
  </si>
  <si>
    <t>TX-001</t>
  </si>
  <si>
    <t>Hebbal 220/66kV T1</t>
  </si>
  <si>
    <t>Hebbal</t>
  </si>
  <si>
    <t>normal</t>
  </si>
  <si>
    <t>Normal</t>
  </si>
  <si>
    <t>TX-002</t>
  </si>
  <si>
    <t>Yeshwanthpur 220/66kV T2</t>
  </si>
  <si>
    <t>Yeshwanthpur</t>
  </si>
  <si>
    <t>TX-003</t>
  </si>
  <si>
    <t>Whitefield 66/11kV T1</t>
  </si>
  <si>
    <t>Whitefield</t>
  </si>
  <si>
    <t>warning</t>
  </si>
  <si>
    <t>Watch</t>
  </si>
  <si>
    <t>TX-004</t>
  </si>
  <si>
    <t>Jayanagar 66/11kV T3</t>
  </si>
  <si>
    <t>Jayanagar</t>
  </si>
  <si>
    <t>TX-005</t>
  </si>
  <si>
    <t>Bellary Rd 400/220kV AT1</t>
  </si>
  <si>
    <t>Bellary Road</t>
  </si>
  <si>
    <t>critical</t>
  </si>
  <si>
    <t>Critical</t>
  </si>
  <si>
    <t>Live Sensor Field Reference (per reading, time-series)</t>
  </si>
  <si>
    <t>Field</t>
  </si>
  <si>
    <t>Unit</t>
  </si>
  <si>
    <t>Description</t>
  </si>
  <si>
    <t>Alert Threshold</t>
  </si>
  <si>
    <t>Source System</t>
  </si>
  <si>
    <t>load_pct</t>
  </si>
  <si>
    <t>%</t>
  </si>
  <si>
    <t>Transformer loading as % of rated MVA</t>
  </si>
  <si>
    <t>&gt;90% critical, &gt;75% warning</t>
  </si>
  <si>
    <t>SCADA / RTU</t>
  </si>
  <si>
    <t>load_mva</t>
  </si>
  <si>
    <t>MVA</t>
  </si>
  <si>
    <t>Actual loading</t>
  </si>
  <si>
    <t>—</t>
  </si>
  <si>
    <t>oil_t</t>
  </si>
  <si>
    <t>°C</t>
  </si>
  <si>
    <t>Top oil temperature</t>
  </si>
  <si>
    <t>&gt;75°C warning</t>
  </si>
  <si>
    <t>RTD sensor / SCADA</t>
  </si>
  <si>
    <t>wind_t</t>
  </si>
  <si>
    <t>Winding hotspot temperature</t>
  </si>
  <si>
    <t>&gt;90°C warning</t>
  </si>
  <si>
    <t>pf</t>
  </si>
  <si>
    <t>Power factor</t>
  </si>
  <si>
    <t>&lt;0.90 warning</t>
  </si>
  <si>
    <t>SCADA</t>
  </si>
  <si>
    <t>tap</t>
  </si>
  <si>
    <t>position</t>
  </si>
  <si>
    <t>OLTC tap position</t>
  </si>
  <si>
    <t>h2</t>
  </si>
  <si>
    <t>ppm</t>
  </si>
  <si>
    <t>DGA — Hydrogen</t>
  </si>
  <si>
    <t>&gt;150 ppm IEC caution</t>
  </si>
  <si>
    <t>Online DGA monitor / lab sample</t>
  </si>
  <si>
    <t>c2h2</t>
  </si>
  <si>
    <t>DGA — Acetylene</t>
  </si>
  <si>
    <t>&gt;5 ppm critical (arcing indicator)</t>
  </si>
  <si>
    <t>co</t>
  </si>
  <si>
    <t>DGA — Carbon monoxide</t>
  </si>
  <si>
    <t>Trend-based</t>
  </si>
  <si>
    <t>Transmission Lines — Master &amp; Dynamic Line Rating Data</t>
  </si>
  <si>
    <t>Line ID</t>
  </si>
  <si>
    <t>Voltage (kV)</t>
  </si>
  <si>
    <t>Length (km)</t>
  </si>
  <si>
    <t>Static Rating (MVA)</t>
  </si>
  <si>
    <t>From Substation</t>
  </si>
  <si>
    <t>To Substation</t>
  </si>
  <si>
    <t>Conductor Type</t>
  </si>
  <si>
    <t>LN-001</t>
  </si>
  <si>
    <t>Hebbal–Whitefield 220kV</t>
  </si>
  <si>
    <t>LN-002</t>
  </si>
  <si>
    <t>Yeshwanthpur–Jayanagar 66kV</t>
  </si>
  <si>
    <t>overloaded</t>
  </si>
  <si>
    <t>LN-003</t>
  </si>
  <si>
    <t>Bellary Rd–Hebbal 400kV</t>
  </si>
  <si>
    <t>DLR Sensor Field Reference (per reading, time-series)</t>
  </si>
  <si>
    <t>wind</t>
  </si>
  <si>
    <t>m/s</t>
  </si>
  <si>
    <t>Wind speed at conductor (weather station / DLR sensor)</t>
  </si>
  <si>
    <t>DLR vendor sensor / weather API</t>
  </si>
  <si>
    <t>dlr</t>
  </si>
  <si>
    <t>Dynamic line rating computed from real-time weather</t>
  </si>
  <si>
    <t>DLR engine (e.g. Ampacimon, CAT-1)</t>
  </si>
  <si>
    <t>hdroom</t>
  </si>
  <si>
    <t>Headroom = (DLR − actual load) / DLR</t>
  </si>
  <si>
    <t>&lt;10% critical, &lt;20% warning</t>
  </si>
  <si>
    <t>Calculated</t>
  </si>
  <si>
    <t>cT</t>
  </si>
  <si>
    <t>Conductor temperature</t>
  </si>
  <si>
    <t>DLR sensor / sag-tension monitor</t>
  </si>
  <si>
    <t>sag</t>
  </si>
  <si>
    <t>m</t>
  </si>
  <si>
    <t>Conductor sag</t>
  </si>
  <si>
    <t>&gt;12 m warning (clearance risk)</t>
  </si>
  <si>
    <t>DLR sensor / LiDAR</t>
  </si>
  <si>
    <t>pct</t>
  </si>
  <si>
    <t>Loading as % of static rating</t>
  </si>
  <si>
    <t>&gt;100% critical, &gt;85% warning</t>
  </si>
  <si>
    <t>Transmission Towers — Master &amp; Drone Inspection Log</t>
  </si>
  <si>
    <t>Tower ID</t>
  </si>
  <si>
    <t>Line</t>
  </si>
  <si>
    <t>Tower Type</t>
  </si>
  <si>
    <t>Height (m)</t>
  </si>
  <si>
    <t>Last Inspection Date</t>
  </si>
  <si>
    <t>Status</t>
  </si>
  <si>
    <t>TW-100</t>
  </si>
  <si>
    <t>HBL-WFD-1</t>
  </si>
  <si>
    <t>Hebbal-Whitefield 220kV</t>
  </si>
  <si>
    <t>Lattice</t>
  </si>
  <si>
    <t>2025-04-10</t>
  </si>
  <si>
    <t>TW-101</t>
  </si>
  <si>
    <t>HBL-WFD-2</t>
  </si>
  <si>
    <t>TW-102</t>
  </si>
  <si>
    <t>HBL-WFD-3</t>
  </si>
  <si>
    <t>2026-06-28</t>
  </si>
  <si>
    <t>drone_inspection</t>
  </si>
  <si>
    <t>TW-103</t>
  </si>
  <si>
    <t>HBL-WFD-4</t>
  </si>
  <si>
    <t>2025-05-15</t>
  </si>
  <si>
    <t>TW-104</t>
  </si>
  <si>
    <t>HBL-WFD-5</t>
  </si>
  <si>
    <t>TW-200</t>
  </si>
  <si>
    <t>YSP-JNR-1</t>
  </si>
  <si>
    <t>Yeshwanthpur-Jayanagar 66kV</t>
  </si>
  <si>
    <t>Monopole</t>
  </si>
  <si>
    <t>2025-03-20</t>
  </si>
  <si>
    <t>TW-201</t>
  </si>
  <si>
    <t>YSP-JNR-2</t>
  </si>
  <si>
    <t>2025-01-05</t>
  </si>
  <si>
    <t>anomaly</t>
  </si>
  <si>
    <t>TW-202</t>
  </si>
  <si>
    <t>YSP-JNR-3</t>
  </si>
  <si>
    <t>TW-203</t>
  </si>
  <si>
    <t>YSP-JNR-4</t>
  </si>
  <si>
    <t>Drone Inspection Field Reference (per inspection cycle)</t>
  </si>
  <si>
    <t>corr</t>
  </si>
  <si>
    <t>Corrosion index from visual/thermal imagery</t>
  </si>
  <si>
    <t>&gt;10% critical, &gt;5% warning</t>
  </si>
  <si>
    <t>Drone vendor analytics (e.g. Skydio, Percepto)</t>
  </si>
  <si>
    <t>sagD</t>
  </si>
  <si>
    <t>Conductor sag deviation vs design</t>
  </si>
  <si>
    <t>&gt;8% warning</t>
  </si>
  <si>
    <t>LiDAR survey via drone</t>
  </si>
  <si>
    <t>insul</t>
  </si>
  <si>
    <t>Insulator integrity score</t>
  </si>
  <si>
    <t>&lt;75% critical, &lt;88% warning</t>
  </si>
  <si>
    <t>Thermal/UV imagery AI scoring</t>
  </si>
  <si>
    <t>veg</t>
  </si>
  <si>
    <t>Vegetation clearance from conductor</t>
  </si>
  <si>
    <t>&lt;3.0 m action (CERC norm)</t>
  </si>
  <si>
    <t>LiDAR vegetation encroachment survey</t>
  </si>
  <si>
    <t>anomalies</t>
  </si>
  <si>
    <t>list</t>
  </si>
  <si>
    <t>Detected defects (strand break, pollution, hotspot)</t>
  </si>
  <si>
    <t>Any 'break' = critical</t>
  </si>
  <si>
    <t>AI defect detection model output</t>
  </si>
  <si>
    <t>STATCOM &amp; Substation Master Data</t>
  </si>
  <si>
    <t>STATCOM Units</t>
  </si>
  <si>
    <t>Unit ID</t>
  </si>
  <si>
    <t>Rating (±MVAR)</t>
  </si>
  <si>
    <t>STC-001</t>
  </si>
  <si>
    <t>Hebbal STATCOM</t>
  </si>
  <si>
    <t>active</t>
  </si>
  <si>
    <t>STC-002</t>
  </si>
  <si>
    <t>Whitefield STATCOM</t>
  </si>
  <si>
    <t>Substations</t>
  </si>
  <si>
    <t>Substation ID</t>
  </si>
  <si>
    <t>Voltage Levels (kV)</t>
  </si>
  <si>
    <t>SCADA Connected (Y/N)</t>
  </si>
  <si>
    <t>SS-001</t>
  </si>
  <si>
    <t>Hebbal EHV Substation</t>
  </si>
  <si>
    <t>220/66</t>
  </si>
  <si>
    <t>Y</t>
  </si>
  <si>
    <t>SS-002</t>
  </si>
  <si>
    <t>Yeshwanthpur EHV Substation</t>
  </si>
  <si>
    <t>SS-003</t>
  </si>
  <si>
    <t>Whitefield HV Substation</t>
  </si>
  <si>
    <t>66/11</t>
  </si>
  <si>
    <t>SS-004</t>
  </si>
  <si>
    <t>Jayanagar HV Substation</t>
  </si>
  <si>
    <t>SS-005</t>
  </si>
  <si>
    <t>Bellary Road UHV Substation</t>
  </si>
  <si>
    <t>400/220</t>
  </si>
  <si>
    <t>SCADA / SLDC System-Level Data</t>
  </si>
  <si>
    <t>Current Value (placeholder)</t>
  </si>
  <si>
    <t>freq</t>
  </si>
  <si>
    <t>Hz</t>
  </si>
  <si>
    <t>Grid frequency</t>
  </si>
  <si>
    <t>±0.05 Hz from 50.0</t>
  </si>
  <si>
    <t>SLDC EMS/SCADA</t>
  </si>
  <si>
    <t>gen</t>
  </si>
  <si>
    <t>MW</t>
  </si>
  <si>
    <t>Total state generation</t>
  </si>
  <si>
    <t>SLDC EMS</t>
  </si>
  <si>
    <t>load</t>
  </si>
  <si>
    <t>Total state demand</t>
  </si>
  <si>
    <t>vpu</t>
  </si>
  <si>
    <t>p.u.</t>
  </si>
  <si>
    <t>System voltage (per unit)</t>
  </si>
  <si>
    <t>±0.02 pu</t>
  </si>
  <si>
    <t>react_reserve</t>
  </si>
  <si>
    <t>MVAR</t>
  </si>
  <si>
    <t>Reactive power reserve available</t>
  </si>
  <si>
    <t>&lt;100 MVAR warning</t>
  </si>
  <si>
    <t>spin_reserve</t>
  </si>
  <si>
    <t>Spinning reserve margin</t>
  </si>
  <si>
    <t>&lt;150 MW warning</t>
  </si>
  <si>
    <t>alarms</t>
  </si>
  <si>
    <t>count</t>
  </si>
  <si>
    <t>Active SCADA alarms</t>
  </si>
  <si>
    <t>&gt;6 critical, &gt;3 warning</t>
  </si>
  <si>
    <t>SCADA alarm log</t>
  </si>
  <si>
    <t>Note: For historical time-series, replicate this table per 15-minute SCADA block with a Timestamp column, or link directly to your EMS historian export.</t>
  </si>
  <si>
    <t>Power Purchase Mix — Source-wise Cost Analysis</t>
  </si>
  <si>
    <t>Source</t>
  </si>
  <si>
    <t>Fiscal Year</t>
  </si>
  <si>
    <t>MU (Million Units)</t>
  </si>
  <si>
    <t>Rate (₹/kWh)</t>
  </si>
  <si>
    <t>Cost (₹ Cr)</t>
  </si>
  <si>
    <t>Type (Intra/Inter-state)</t>
  </si>
  <si>
    <t>KPCL Hydro</t>
  </si>
  <si>
    <t>FY25</t>
  </si>
  <si>
    <t>Intra</t>
  </si>
  <si>
    <t>KPCL Thermal</t>
  </si>
  <si>
    <t>KPCL Gas</t>
  </si>
  <si>
    <t>CGS NTPC/NPCIL</t>
  </si>
  <si>
    <t>ISTS</t>
  </si>
  <si>
    <t>Solar PPAs</t>
  </si>
  <si>
    <t>Wind PPAs</t>
  </si>
  <si>
    <t>IPP Conventional</t>
  </si>
  <si>
    <t>IEX / Exchange</t>
  </si>
  <si>
    <t>Inter</t>
  </si>
  <si>
    <t>Bilateral LT PPAs</t>
  </si>
  <si>
    <t>TOTAL / APPC</t>
  </si>
  <si>
    <t>Add additional fiscal years below by copying the block above with a new 'Fiscal Year' tag (e.g. FY24, FY23) to build the historical trend.</t>
  </si>
  <si>
    <t>Sales Mix by Consumer Category — BESCOM (template for all ESCOMs)</t>
  </si>
  <si>
    <t>ESCOM:</t>
  </si>
  <si>
    <t>BESCOM</t>
  </si>
  <si>
    <t>Consumer Category</t>
  </si>
  <si>
    <t>MU</t>
  </si>
  <si>
    <t>% of Total</t>
  </si>
  <si>
    <t>Tariff (₹/kWh)</t>
  </si>
  <si>
    <t>Revenue (₹ Cr)</t>
  </si>
  <si>
    <t>Subsidy Flag</t>
  </si>
  <si>
    <t>Residential BPL</t>
  </si>
  <si>
    <t>GoK Gruha Jyothi</t>
  </si>
  <si>
    <t>Residential General</t>
  </si>
  <si>
    <t>Residential HI</t>
  </si>
  <si>
    <t>LT Commercial</t>
  </si>
  <si>
    <t>Agriculture IP</t>
  </si>
  <si>
    <t>GoK Free Power</t>
  </si>
  <si>
    <t>LT Industrial</t>
  </si>
  <si>
    <t>HT Industrial</t>
  </si>
  <si>
    <t>Open Access risk</t>
  </si>
  <si>
    <t>TOTAL</t>
  </si>
  <si>
    <t>Subsidy Burden — GoK / GoI Schemes</t>
  </si>
  <si>
    <t>Scheme</t>
  </si>
  <si>
    <t>Beneficiary</t>
  </si>
  <si>
    <t>Amount (₹ Cr)</t>
  </si>
  <si>
    <t>Budget Next FY (₹ Cr)</t>
  </si>
  <si>
    <t>Risk Flag</t>
  </si>
  <si>
    <t>Gruha Jyothi (free 200u)</t>
  </si>
  <si>
    <t>All Residential BPL</t>
  </si>
  <si>
    <t>Largest scheme</t>
  </si>
  <si>
    <t>IP Free Power (Agri)</t>
  </si>
  <si>
    <t>Farmers &lt;10HP</t>
  </si>
  <si>
    <t>Unmetered consumption</t>
  </si>
  <si>
    <t>RDSS Grant (GoI)</t>
  </si>
  <si>
    <t>All ESCOMs Infra</t>
  </si>
  <si>
    <t>CapEx, conditional</t>
  </si>
  <si>
    <t>PMSGY (GoI)</t>
  </si>
  <si>
    <t>Rural ESCOMs</t>
  </si>
  <si>
    <t>CapEx</t>
  </si>
  <si>
    <t>Green Energy Corridor</t>
  </si>
  <si>
    <t>KPTCL RE evacuation</t>
  </si>
  <si>
    <t>CapEx + VGF</t>
  </si>
  <si>
    <t>BPL Tariff Subsidy</t>
  </si>
  <si>
    <t>BPL consumers</t>
  </si>
  <si>
    <t>Arrears risk</t>
  </si>
  <si>
    <t>Open Access — Volumes &amp; Revenue Impact Trend</t>
  </si>
  <si>
    <t>Open Access Volume (MU)</t>
  </si>
  <si>
    <t>Revenue Lost (₹ Cr)</t>
  </si>
  <si>
    <t>HT Industrial Migration Risk</t>
  </si>
  <si>
    <t>FY22-23</t>
  </si>
  <si>
    <t>Low</t>
  </si>
  <si>
    <t>FY23-24</t>
  </si>
  <si>
    <t>Medium</t>
  </si>
  <si>
    <t>FY24-25</t>
  </si>
  <si>
    <t>Medium-High</t>
  </si>
  <si>
    <t>FY25-26 (Projected)</t>
  </si>
  <si>
    <t>High</t>
  </si>
  <si>
    <t>ESCOM Reliability Indices vs CEA Norms</t>
  </si>
  <si>
    <t>ESCOM</t>
  </si>
  <si>
    <t>SAIDI (hrs/yr)</t>
  </si>
  <si>
    <t>SAIFI (int/yr)</t>
  </si>
  <si>
    <t>CAIDI (hrs)</t>
  </si>
  <si>
    <t>AT&amp;C Loss (%)</t>
  </si>
  <si>
    <t>Smart Meter Coverage (%)</t>
  </si>
  <si>
    <t>DT Failure Rate (%)</t>
  </si>
  <si>
    <t>MESCOM</t>
  </si>
  <si>
    <t>HESCOM</t>
  </si>
  <si>
    <t>GESCOM</t>
  </si>
  <si>
    <t>CESC</t>
  </si>
  <si>
    <t>CEA Target</t>
  </si>
  <si>
    <t>CEA RDSS guideline</t>
  </si>
  <si>
    <t>APSPDCL Best (peer ref)</t>
  </si>
  <si>
    <t>APSPDCL annual report (verify)</t>
  </si>
  <si>
    <t>Network Assets — HT:LT Ratio &amp; Infrastructure by ESCOM</t>
  </si>
  <si>
    <t>HT:LT Ratio</t>
  </si>
  <si>
    <t>33kV Substations</t>
  </si>
  <si>
    <t>33kV Line (km)</t>
  </si>
  <si>
    <t>11kV Feeders</t>
  </si>
  <si>
    <t>Distribution Transformers</t>
  </si>
  <si>
    <t>LT Line (km)</t>
  </si>
  <si>
    <t>CEA Ideal</t>
  </si>
  <si>
    <t>Gross Fixed Assets &amp; Debt Profile — ESCOMs and KPTCL</t>
  </si>
  <si>
    <t>Entity</t>
  </si>
  <si>
    <t>GFA (₹ Cr)</t>
  </si>
  <si>
    <t>Debt (₹ Cr)</t>
  </si>
  <si>
    <t>KPTCL</t>
  </si>
  <si>
    <t>Thermal Generating Stations — Performance &amp; Coal Security</t>
  </si>
  <si>
    <t>Station</t>
  </si>
  <si>
    <t>Installed Capacity (MW)</t>
  </si>
  <si>
    <t>PLF (%)</t>
  </si>
  <si>
    <t>Coal Grade</t>
  </si>
  <si>
    <t>GCV (kcal/kg)</t>
  </si>
  <si>
    <t>Station Heat Rate (kcal/kWh)</t>
  </si>
  <si>
    <t>Coal Stock (days)</t>
  </si>
  <si>
    <t>Generation Cost (₹/kWh)</t>
  </si>
  <si>
    <t>RTPS Raichur Stage 1-7</t>
  </si>
  <si>
    <t>E/F</t>
  </si>
  <si>
    <t>BTPS Bellary Stage 1-3</t>
  </si>
  <si>
    <t>E</t>
  </si>
  <si>
    <t>YTPS Yermarus Stage 1-2</t>
  </si>
  <si>
    <t>UPCL Udupi (IPP)</t>
  </si>
  <si>
    <t>Imported</t>
  </si>
  <si>
    <t>EHS Hazard Register — Substations, Lines &amp; Towers</t>
  </si>
  <si>
    <t>Asset</t>
  </si>
  <si>
    <t>Hazard Type</t>
  </si>
  <si>
    <t>Measured Value</t>
  </si>
  <si>
    <t>Threshold/Standard</t>
  </si>
  <si>
    <t>Risk Level</t>
  </si>
  <si>
    <t>Last Assessed</t>
  </si>
  <si>
    <t>Bellary Rd 400kV</t>
  </si>
  <si>
    <t>Arc Flash</t>
  </si>
  <si>
    <t>Incident energy at switchgear</t>
  </si>
  <si>
    <t>48 cal/cm²</t>
  </si>
  <si>
    <t>PPE Cat 4 / IEEE 1584</t>
  </si>
  <si>
    <t>Whitefield GIS</t>
  </si>
  <si>
    <t>SF6 Leak</t>
  </si>
  <si>
    <t>Gas pressure / leak rate</t>
  </si>
  <si>
    <t>4.8 bar (nom 5.2), 0.8%/yr</t>
  </si>
  <si>
    <t>Leak threshold 1%/yr</t>
  </si>
  <si>
    <t>Monitor</t>
  </si>
  <si>
    <t>Tower YSP-JNR-2</t>
  </si>
  <si>
    <t>Vegetation</t>
  </si>
  <si>
    <t>Clearance from conductor</t>
  </si>
  <si>
    <t>1.8 m</t>
  </si>
  <si>
    <t>CERC min 3.0 m</t>
  </si>
  <si>
    <t>Action</t>
  </si>
  <si>
    <t>Hebbal T1</t>
  </si>
  <si>
    <t>Oil Containment</t>
  </si>
  <si>
    <t>Bund capacity vs oil volume</t>
  </si>
  <si>
    <t>110% of transformer oil volume</t>
  </si>
  <si>
    <t>CPCB norm 110%</t>
  </si>
  <si>
    <t>OK</t>
  </si>
  <si>
    <t>Jayanagar SS</t>
  </si>
  <si>
    <t>Earthing</t>
  </si>
  <si>
    <t>Earth resistance</t>
  </si>
  <si>
    <t>0.28 Ω</t>
  </si>
  <si>
    <t>IS 3043 limit 1.0 Ω</t>
  </si>
  <si>
    <t>Hebbal 220kV Corridor</t>
  </si>
  <si>
    <t>EMF</t>
  </si>
  <si>
    <t>Field strength at corridor edge</t>
  </si>
  <si>
    <t>12 kV/m</t>
  </si>
  <si>
    <t>ICNIRP public limit 10 kV/m</t>
  </si>
  <si>
    <t>Review</t>
  </si>
  <si>
    <t>RTPS Transformers</t>
  </si>
  <si>
    <t>PCB Oil</t>
  </si>
  <si>
    <t>PCB content compliance check</t>
  </si>
  <si>
    <t>Last sample FY24</t>
  </si>
  <si>
    <t>CPCB compliance schedule</t>
  </si>
  <si>
    <t>Due</t>
  </si>
  <si>
    <t>Jayanagar Substation</t>
  </si>
  <si>
    <t>Noise</t>
  </si>
  <si>
    <t>Ambient noise level</t>
  </si>
  <si>
    <t>84 dBA</t>
  </si>
  <si>
    <t>CPCB industrial limit 75 dBA</t>
  </si>
  <si>
    <t>Carbon Intensity &amp; Carbon Credit Potential</t>
  </si>
  <si>
    <t>Grid Emission Factor</t>
  </si>
  <si>
    <t>kg CO2 / kWh — Source: CEA CO2 Baseline Database (verify latest version)</t>
  </si>
  <si>
    <t>Fuel Mix FY25 (%)</t>
  </si>
  <si>
    <t>Share (%)</t>
  </si>
  <si>
    <t>Solar</t>
  </si>
  <si>
    <t>Wind</t>
  </si>
  <si>
    <t>Hydro</t>
  </si>
  <si>
    <t>Thermal</t>
  </si>
  <si>
    <t>Gas</t>
  </si>
  <si>
    <t>Other (CGS/IPP/Exchange)</t>
  </si>
  <si>
    <t>Carbon Credit Levers</t>
  </si>
  <si>
    <t>Lever</t>
  </si>
  <si>
    <t>Loss Reduction (%)</t>
  </si>
  <si>
    <t>tCO2/yr Saved</t>
  </si>
  <si>
    <t>Credits (₹ Cr/yr)</t>
  </si>
  <si>
    <t>DLR Deployment</t>
  </si>
  <si>
    <t>STATCOM reactive optimisation</t>
  </si>
  <si>
    <t>Smart Metering AT&amp;C reduction</t>
  </si>
  <si>
    <t>RE curtailment reduction</t>
  </si>
  <si>
    <t>Total Potential</t>
  </si>
  <si>
    <t>Incident / Fault Log</t>
  </si>
  <si>
    <t>Incident ID</t>
  </si>
  <si>
    <t>Severity</t>
  </si>
  <si>
    <t>Opened (Date/Time)</t>
  </si>
  <si>
    <t>Closed (Date/Time)</t>
  </si>
  <si>
    <t>Assigned To</t>
  </si>
  <si>
    <t>INC-001</t>
  </si>
  <si>
    <t>Overload 94.2% · DGA C2H2 12.4 ppm elevated</t>
  </si>
  <si>
    <t>P1 Critical</t>
  </si>
  <si>
    <t>EE Bellary Circle</t>
  </si>
  <si>
    <t>Open</t>
  </si>
  <si>
    <t>INC-002</t>
  </si>
  <si>
    <t>Line overloaded 103.2% of static rating</t>
  </si>
  <si>
    <t>SE Operations SLDC</t>
  </si>
  <si>
    <t>INC-003</t>
  </si>
  <si>
    <t>Conductor strand break (Drone confirmed)</t>
  </si>
  <si>
    <t>Line Gang 4</t>
  </si>
  <si>
    <t>INC-004</t>
  </si>
  <si>
    <t>Oil temp 78.4°C, cooling fans tripped</t>
  </si>
  <si>
    <t>P2 Warning</t>
  </si>
  <si>
    <t>AEE Whitefield SS</t>
  </si>
  <si>
    <t>In Progress</t>
  </si>
  <si>
    <t>INC-005</t>
  </si>
  <si>
    <t>Drone inspection underway</t>
  </si>
  <si>
    <t>Drone Team Alpha</t>
  </si>
  <si>
    <t>INC-006</t>
  </si>
  <si>
    <t>DLR headroom &lt;10% — wind speed dropped</t>
  </si>
  <si>
    <t>SLDC Control Room</t>
  </si>
  <si>
    <t>INC-007</t>
  </si>
  <si>
    <t>Capacitor bank trip — restored</t>
  </si>
  <si>
    <t>P3 Resolved</t>
  </si>
  <si>
    <t>EE Maintenance</t>
  </si>
  <si>
    <t>Closed</t>
  </si>
  <si>
    <t>INC-008</t>
  </si>
  <si>
    <t>BESCOM Fdr-14</t>
  </si>
  <si>
    <t>33kV feeder fault — auto-reclosed</t>
  </si>
  <si>
    <t>Auto-reclose</t>
  </si>
  <si>
    <t>MTTR Calculation</t>
  </si>
  <si>
    <t>MTTR (avg, hrs)</t>
  </si>
  <si>
    <t>MTTR = AVERAGE(Closed Time minus Opened Time) across all closed incidents in period</t>
  </si>
  <si>
    <t>Maintenance Schedule &amp; Work Orders</t>
  </si>
  <si>
    <t>Asset ID</t>
  </si>
  <si>
    <t>Task Description</t>
  </si>
  <si>
    <t>Due Date</t>
  </si>
  <si>
    <t>Priority</t>
  </si>
  <si>
    <t>Assigned Team</t>
  </si>
  <si>
    <t>Emergency DGA + oil sample</t>
  </si>
  <si>
    <t>P1</t>
  </si>
  <si>
    <t>Thermal scan + load shed</t>
  </si>
  <si>
    <t>P2</t>
  </si>
  <si>
    <t>Scheduled</t>
  </si>
  <si>
    <t>Line gang — strand repair</t>
  </si>
  <si>
    <t>Load transfer to LN-001</t>
  </si>
  <si>
    <t>Drone visual inspection</t>
  </si>
  <si>
    <t>Active</t>
  </si>
  <si>
    <t>Annual scheduled maintenance</t>
  </si>
  <si>
    <t>P3</t>
  </si>
  <si>
    <t>Planned</t>
  </si>
  <si>
    <t>N-1 Contingency / Outage Impact Simulation Reference</t>
  </si>
  <si>
    <t>If Trips...</t>
  </si>
  <si>
    <t>MW Affected</t>
  </si>
  <si>
    <t>ESCOMs Impacted</t>
  </si>
  <si>
    <t>Cascade Risk</t>
  </si>
  <si>
    <t>Mitigation Action</t>
  </si>
  <si>
    <t>Bellary Rd AT1 trips</t>
  </si>
  <si>
    <t>BESCOM + HESCOM</t>
  </si>
  <si>
    <t>Manual redispatch</t>
  </si>
  <si>
    <t>Hebbal–Whitefield 220kV trips</t>
  </si>
  <si>
    <t>BESCOM North</t>
  </si>
  <si>
    <t>Switch to LN-003</t>
  </si>
  <si>
    <t>YSP–Jayanagar 66kV trips</t>
  </si>
  <si>
    <t>BESCOM South</t>
  </si>
  <si>
    <t>Load shed 72 MW</t>
  </si>
  <si>
    <t>Hebbal STATCOM trips</t>
  </si>
  <si>
    <t>Voltage stability</t>
  </si>
  <si>
    <t>STC-002 ramp up</t>
  </si>
  <si>
    <t>Note: These should be derived from your SLDC's N-1 contingency analysis / load flow studies, re-validated whenever network topology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</si>
</sst>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2937"/>
      <name val="Calibri"/>
      <family val="2"/>
    </font>
    <font>
      <i/>
      <sz val="10"/>
      <color rgb="FF6B728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1"/>
      <color rgb="FF1E3A8A"/>
      <name val="Calibri"/>
      <family val="2"/>
    </font>
    <font>
      <sz val="10"/>
      <color rgb="FF0000FF"/>
      <name val="Calibri"/>
      <family val="2"/>
    </font>
    <font>
      <i/>
      <sz val="9"/>
      <color rgb="FF6B7280"/>
      <name val="Calibri"/>
      <family val="2"/>
    </font>
    <font>
      <b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F9C3"/>
        <bgColor rgb="FFFFFF9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1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3" borderId="1" xfId="0" applyFont="1" applyFill="1" applyBorder="1"/>
    <xf numFmtId="0" fontId="9" fillId="0" borderId="0" xfId="0" applyFont="1"/>
    <xf numFmtId="0" fontId="10" fillId="0" borderId="1" xfId="0" applyFont="1" applyBorder="1"/>
    <xf numFmtId="0" fontId="11" fillId="0" borderId="0" xfId="0" applyFont="1"/>
    <xf numFmtId="0" fontId="12" fillId="0" borderId="1" xfId="0" applyFont="1" applyBorder="1"/>
    <xf numFmtId="0" fontId="10" fillId="3" borderId="0" xfId="0" applyFont="1" applyFill="1"/>
    <xf numFmtId="164" fontId="8" fillId="0" borderId="1" xfId="0" applyNumberFormat="1" applyFont="1" applyBorder="1"/>
    <xf numFmtId="164" fontId="1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opLeftCell="A3" zoomScale="166" zoomScaleNormal="100" workbookViewId="0">
      <selection sqref="A1:F1"/>
    </sheetView>
  </sheetViews>
  <sheetFormatPr baseColWidth="10" defaultColWidth="8.6640625" defaultRowHeight="15" x14ac:dyDescent="0.2"/>
  <cols>
    <col min="1" max="1" width="5" customWidth="1"/>
    <col min="2" max="2" width="26" customWidth="1"/>
    <col min="3" max="3" width="34" customWidth="1"/>
    <col min="4" max="4" width="22" customWidth="1"/>
    <col min="5" max="5" width="38" customWidth="1"/>
    <col min="6" max="6" width="18" customWidth="1"/>
  </cols>
  <sheetData>
    <row r="1" spans="1:6" ht="21.75" customHeight="1" x14ac:dyDescent="0.25">
      <c r="A1" s="4" t="s">
        <v>0</v>
      </c>
      <c r="B1" s="4"/>
      <c r="C1" s="4"/>
      <c r="D1" s="4"/>
      <c r="E1" s="4"/>
      <c r="F1" s="4"/>
    </row>
    <row r="2" spans="1:6" ht="15.75" customHeight="1" x14ac:dyDescent="0.2">
      <c r="A2" s="3" t="s">
        <v>1</v>
      </c>
      <c r="B2" s="3"/>
      <c r="C2" s="3"/>
      <c r="D2" s="3"/>
      <c r="E2" s="3"/>
      <c r="F2" s="3"/>
    </row>
    <row r="4" spans="1:6" ht="49.5" customHeight="1" x14ac:dyDescent="0.2">
      <c r="A4" s="5" t="s">
        <v>2</v>
      </c>
      <c r="B4" s="2" t="s">
        <v>3</v>
      </c>
      <c r="C4" s="2"/>
      <c r="D4" s="2"/>
      <c r="E4" s="2"/>
      <c r="F4" s="2"/>
    </row>
    <row r="6" spans="1:6" x14ac:dyDescent="0.2">
      <c r="A6" s="5" t="s">
        <v>4</v>
      </c>
    </row>
    <row r="7" spans="1:6" x14ac:dyDescent="0.2">
      <c r="A7" s="6" t="s">
        <v>5</v>
      </c>
      <c r="B7" s="7" t="s">
        <v>6</v>
      </c>
    </row>
    <row r="8" spans="1:6" x14ac:dyDescent="0.2">
      <c r="A8" s="6" t="s">
        <v>7</v>
      </c>
      <c r="B8" s="7" t="s">
        <v>8</v>
      </c>
    </row>
    <row r="9" spans="1:6" x14ac:dyDescent="0.2">
      <c r="A9" s="6" t="s">
        <v>9</v>
      </c>
      <c r="B9" s="7" t="s">
        <v>10</v>
      </c>
    </row>
    <row r="10" spans="1:6" x14ac:dyDescent="0.2">
      <c r="A10" s="6" t="s">
        <v>11</v>
      </c>
      <c r="B10" s="7" t="s">
        <v>12</v>
      </c>
    </row>
    <row r="12" spans="1:6" x14ac:dyDescent="0.2">
      <c r="A12" s="5" t="s">
        <v>13</v>
      </c>
    </row>
    <row r="13" spans="1:6" x14ac:dyDescent="0.2">
      <c r="A13" s="8" t="s">
        <v>14</v>
      </c>
      <c r="B13" s="8" t="s">
        <v>15</v>
      </c>
      <c r="C13" s="8" t="s">
        <v>16</v>
      </c>
      <c r="D13" s="8" t="s">
        <v>17</v>
      </c>
      <c r="E13" s="8" t="s">
        <v>18</v>
      </c>
      <c r="F13" s="8" t="s">
        <v>19</v>
      </c>
    </row>
    <row r="14" spans="1:6" x14ac:dyDescent="0.2">
      <c r="A14" s="9" t="s">
        <v>20</v>
      </c>
      <c r="B14" s="9" t="s">
        <v>21</v>
      </c>
      <c r="C14" s="9" t="s">
        <v>22</v>
      </c>
      <c r="D14" s="9" t="s">
        <v>23</v>
      </c>
      <c r="E14" s="9" t="s">
        <v>24</v>
      </c>
      <c r="F14" s="9" t="s">
        <v>25</v>
      </c>
    </row>
    <row r="15" spans="1:6" x14ac:dyDescent="0.2">
      <c r="A15" s="9" t="s">
        <v>26</v>
      </c>
      <c r="B15" s="9" t="s">
        <v>27</v>
      </c>
      <c r="C15" s="9" t="s">
        <v>28</v>
      </c>
      <c r="D15" s="9" t="s">
        <v>23</v>
      </c>
      <c r="E15" s="9" t="s">
        <v>29</v>
      </c>
      <c r="F15" s="9" t="s">
        <v>30</v>
      </c>
    </row>
    <row r="16" spans="1:6" x14ac:dyDescent="0.2">
      <c r="A16" s="9" t="s">
        <v>31</v>
      </c>
      <c r="B16" s="9" t="s">
        <v>32</v>
      </c>
      <c r="C16" s="9" t="s">
        <v>33</v>
      </c>
      <c r="D16" s="9" t="s">
        <v>34</v>
      </c>
      <c r="E16" s="9" t="s">
        <v>35</v>
      </c>
      <c r="F16" s="9" t="s">
        <v>36</v>
      </c>
    </row>
    <row r="17" spans="1:6" x14ac:dyDescent="0.2">
      <c r="A17" s="9" t="s">
        <v>37</v>
      </c>
      <c r="B17" s="9" t="s">
        <v>38</v>
      </c>
      <c r="C17" s="9" t="s">
        <v>39</v>
      </c>
      <c r="D17" s="9" t="s">
        <v>23</v>
      </c>
      <c r="E17" s="9" t="s">
        <v>40</v>
      </c>
      <c r="F17" s="9" t="s">
        <v>25</v>
      </c>
    </row>
    <row r="18" spans="1:6" x14ac:dyDescent="0.2">
      <c r="A18" s="9" t="s">
        <v>41</v>
      </c>
      <c r="B18" s="9" t="s">
        <v>42</v>
      </c>
      <c r="C18" s="9" t="s">
        <v>43</v>
      </c>
      <c r="D18" s="9" t="s">
        <v>23</v>
      </c>
      <c r="E18" s="9" t="s">
        <v>44</v>
      </c>
      <c r="F18" s="9" t="s">
        <v>45</v>
      </c>
    </row>
    <row r="19" spans="1:6" x14ac:dyDescent="0.2">
      <c r="A19" s="9" t="s">
        <v>46</v>
      </c>
      <c r="B19" s="9" t="s">
        <v>47</v>
      </c>
      <c r="C19" s="9" t="s">
        <v>48</v>
      </c>
      <c r="D19" s="9" t="s">
        <v>49</v>
      </c>
      <c r="E19" s="9" t="s">
        <v>50</v>
      </c>
      <c r="F19" s="9" t="s">
        <v>51</v>
      </c>
    </row>
    <row r="20" spans="1:6" x14ac:dyDescent="0.2">
      <c r="A20" s="9" t="s">
        <v>52</v>
      </c>
      <c r="B20" s="9" t="s">
        <v>53</v>
      </c>
      <c r="C20" s="9" t="s">
        <v>54</v>
      </c>
      <c r="D20" s="9" t="s">
        <v>49</v>
      </c>
      <c r="E20" s="9" t="s">
        <v>55</v>
      </c>
      <c r="F20" s="9" t="s">
        <v>51</v>
      </c>
    </row>
    <row r="21" spans="1:6" x14ac:dyDescent="0.2">
      <c r="A21" s="9" t="s">
        <v>56</v>
      </c>
      <c r="B21" s="9" t="s">
        <v>57</v>
      </c>
      <c r="C21" s="9" t="s">
        <v>58</v>
      </c>
      <c r="D21" s="9" t="s">
        <v>59</v>
      </c>
      <c r="E21" s="9" t="s">
        <v>60</v>
      </c>
      <c r="F21" s="9" t="s">
        <v>61</v>
      </c>
    </row>
    <row r="22" spans="1:6" x14ac:dyDescent="0.2">
      <c r="A22" s="9" t="s">
        <v>62</v>
      </c>
      <c r="B22" s="9" t="s">
        <v>63</v>
      </c>
      <c r="C22" s="9" t="s">
        <v>64</v>
      </c>
      <c r="D22" s="9" t="s">
        <v>49</v>
      </c>
      <c r="E22" s="9" t="s">
        <v>65</v>
      </c>
      <c r="F22" s="9" t="s">
        <v>61</v>
      </c>
    </row>
    <row r="23" spans="1:6" x14ac:dyDescent="0.2">
      <c r="A23" s="9" t="s">
        <v>66</v>
      </c>
      <c r="B23" s="9" t="s">
        <v>67</v>
      </c>
      <c r="C23" s="9" t="s">
        <v>68</v>
      </c>
      <c r="D23" s="9" t="s">
        <v>69</v>
      </c>
      <c r="E23" s="9" t="s">
        <v>70</v>
      </c>
      <c r="F23" s="9" t="s">
        <v>71</v>
      </c>
    </row>
    <row r="24" spans="1:6" x14ac:dyDescent="0.2">
      <c r="A24" s="9" t="s">
        <v>72</v>
      </c>
      <c r="B24" s="9" t="s">
        <v>73</v>
      </c>
      <c r="C24" s="9" t="s">
        <v>74</v>
      </c>
      <c r="D24" s="9" t="s">
        <v>69</v>
      </c>
      <c r="E24" s="9" t="s">
        <v>75</v>
      </c>
      <c r="F24" s="9" t="s">
        <v>76</v>
      </c>
    </row>
    <row r="25" spans="1:6" x14ac:dyDescent="0.2">
      <c r="A25" s="9" t="s">
        <v>77</v>
      </c>
      <c r="B25" s="9" t="s">
        <v>78</v>
      </c>
      <c r="C25" s="9" t="s">
        <v>79</v>
      </c>
      <c r="D25" s="9" t="s">
        <v>69</v>
      </c>
      <c r="E25" s="9" t="s">
        <v>80</v>
      </c>
      <c r="F25" s="9" t="s">
        <v>81</v>
      </c>
    </row>
    <row r="26" spans="1:6" x14ac:dyDescent="0.2">
      <c r="A26" s="9" t="s">
        <v>82</v>
      </c>
      <c r="B26" s="9" t="s">
        <v>83</v>
      </c>
      <c r="C26" s="9" t="s">
        <v>84</v>
      </c>
      <c r="D26" s="9" t="s">
        <v>85</v>
      </c>
      <c r="E26" s="9" t="s">
        <v>86</v>
      </c>
      <c r="F26" s="9" t="s">
        <v>51</v>
      </c>
    </row>
    <row r="27" spans="1:6" x14ac:dyDescent="0.2">
      <c r="A27" s="9" t="s">
        <v>87</v>
      </c>
      <c r="B27" s="9" t="s">
        <v>88</v>
      </c>
      <c r="C27" s="9" t="s">
        <v>89</v>
      </c>
      <c r="D27" s="9" t="s">
        <v>90</v>
      </c>
      <c r="E27" s="9" t="s">
        <v>91</v>
      </c>
      <c r="F27" s="9" t="s">
        <v>92</v>
      </c>
    </row>
    <row r="28" spans="1:6" x14ac:dyDescent="0.2">
      <c r="A28" s="9" t="s">
        <v>93</v>
      </c>
      <c r="B28" s="9" t="s">
        <v>94</v>
      </c>
      <c r="C28" s="9" t="s">
        <v>95</v>
      </c>
      <c r="D28" s="9" t="s">
        <v>90</v>
      </c>
      <c r="E28" s="9" t="s">
        <v>96</v>
      </c>
      <c r="F28" s="9" t="s">
        <v>81</v>
      </c>
    </row>
    <row r="29" spans="1:6" x14ac:dyDescent="0.2">
      <c r="A29" s="9" t="s">
        <v>97</v>
      </c>
      <c r="B29" s="9" t="s">
        <v>98</v>
      </c>
      <c r="C29" s="9" t="s">
        <v>99</v>
      </c>
      <c r="D29" s="9" t="s">
        <v>100</v>
      </c>
      <c r="E29" s="9" t="s">
        <v>101</v>
      </c>
      <c r="F29" s="9" t="s">
        <v>102</v>
      </c>
    </row>
    <row r="30" spans="1:6" x14ac:dyDescent="0.2">
      <c r="A30" s="9" t="s">
        <v>103</v>
      </c>
      <c r="B30" s="9" t="s">
        <v>104</v>
      </c>
      <c r="C30" s="9" t="s">
        <v>105</v>
      </c>
      <c r="D30" s="9" t="s">
        <v>34</v>
      </c>
      <c r="E30" s="9" t="s">
        <v>106</v>
      </c>
      <c r="F30" s="9" t="s">
        <v>102</v>
      </c>
    </row>
    <row r="31" spans="1:6" x14ac:dyDescent="0.2">
      <c r="A31" s="9" t="s">
        <v>107</v>
      </c>
      <c r="B31" s="9" t="s">
        <v>108</v>
      </c>
      <c r="C31" s="9" t="s">
        <v>109</v>
      </c>
      <c r="D31" s="9" t="s">
        <v>100</v>
      </c>
      <c r="E31" s="9" t="s">
        <v>110</v>
      </c>
      <c r="F31" s="9" t="s">
        <v>111</v>
      </c>
    </row>
  </sheetData>
  <mergeCells count="3">
    <mergeCell ref="A1:F1"/>
    <mergeCell ref="A2:F2"/>
    <mergeCell ref="B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zoomScale="144" zoomScaleNormal="100" workbookViewId="0">
      <pane ySplit="4" topLeftCell="A5" activePane="bottomLeft" state="frozen"/>
      <selection pane="bottomLeft" sqref="A1:M1"/>
    </sheetView>
  </sheetViews>
  <sheetFormatPr baseColWidth="10" defaultColWidth="8.6640625" defaultRowHeight="15" x14ac:dyDescent="0.2"/>
  <cols>
    <col min="1" max="1" width="14" customWidth="1"/>
    <col min="2" max="2" width="28" customWidth="1"/>
    <col min="3" max="3" width="16" customWidth="1"/>
    <col min="4" max="5" width="12" customWidth="1"/>
    <col min="6" max="7" width="14" customWidth="1"/>
    <col min="8" max="9" width="16" customWidth="1"/>
    <col min="10" max="10" width="14" customWidth="1"/>
    <col min="11" max="11" width="12" customWidth="1"/>
    <col min="12" max="12" width="16" customWidth="1"/>
    <col min="13" max="13" width="14" customWidth="1"/>
    <col min="14" max="14" width="30" customWidth="1"/>
  </cols>
  <sheetData>
    <row r="1" spans="1:14" ht="21.75" customHeight="1" x14ac:dyDescent="0.25">
      <c r="A1" s="4" t="s">
        <v>112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4" ht="15.75" customHeight="1" x14ac:dyDescent="0.2">
      <c r="A2" s="3" t="s">
        <v>113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4" ht="30" x14ac:dyDescent="0.2">
      <c r="A4" s="8" t="s">
        <v>114</v>
      </c>
      <c r="B4" s="8" t="s">
        <v>115</v>
      </c>
      <c r="C4" s="8" t="s">
        <v>116</v>
      </c>
      <c r="D4" s="8" t="s">
        <v>117</v>
      </c>
      <c r="E4" s="8" t="s">
        <v>118</v>
      </c>
      <c r="F4" s="8" t="s">
        <v>119</v>
      </c>
      <c r="G4" s="8" t="s">
        <v>120</v>
      </c>
      <c r="H4" s="8" t="s">
        <v>121</v>
      </c>
      <c r="I4" s="8" t="s">
        <v>122</v>
      </c>
      <c r="J4" s="8" t="s">
        <v>123</v>
      </c>
      <c r="K4" s="8" t="s">
        <v>124</v>
      </c>
      <c r="L4" s="8" t="s">
        <v>125</v>
      </c>
      <c r="M4" s="8" t="s">
        <v>126</v>
      </c>
      <c r="N4" s="8" t="s">
        <v>127</v>
      </c>
    </row>
    <row r="5" spans="1:14" x14ac:dyDescent="0.2">
      <c r="A5" s="9" t="s">
        <v>128</v>
      </c>
      <c r="B5" s="9" t="s">
        <v>129</v>
      </c>
      <c r="C5" s="9" t="s">
        <v>130</v>
      </c>
      <c r="D5" s="9">
        <v>13.035</v>
      </c>
      <c r="E5" s="9">
        <v>77.596999999999994</v>
      </c>
      <c r="F5" s="9">
        <v>160</v>
      </c>
      <c r="G5" s="9">
        <v>220</v>
      </c>
      <c r="H5" s="9">
        <v>66</v>
      </c>
      <c r="I5" s="10"/>
      <c r="J5" s="10"/>
      <c r="K5" s="9" t="s">
        <v>131</v>
      </c>
      <c r="L5" s="10"/>
      <c r="M5" s="9" t="s">
        <v>132</v>
      </c>
      <c r="N5" s="10"/>
    </row>
    <row r="6" spans="1:14" x14ac:dyDescent="0.2">
      <c r="A6" s="9" t="s">
        <v>133</v>
      </c>
      <c r="B6" s="9" t="s">
        <v>134</v>
      </c>
      <c r="C6" s="9" t="s">
        <v>135</v>
      </c>
      <c r="D6" s="9">
        <v>13.0237</v>
      </c>
      <c r="E6" s="9">
        <v>77.549000000000007</v>
      </c>
      <c r="F6" s="9">
        <v>160</v>
      </c>
      <c r="G6" s="9">
        <v>220</v>
      </c>
      <c r="H6" s="9">
        <v>66</v>
      </c>
      <c r="I6" s="10"/>
      <c r="J6" s="10"/>
      <c r="K6" s="9" t="s">
        <v>131</v>
      </c>
      <c r="L6" s="10"/>
      <c r="M6" s="9" t="s">
        <v>132</v>
      </c>
      <c r="N6" s="10"/>
    </row>
    <row r="7" spans="1:14" x14ac:dyDescent="0.2">
      <c r="A7" s="9" t="s">
        <v>136</v>
      </c>
      <c r="B7" s="9" t="s">
        <v>137</v>
      </c>
      <c r="C7" s="9" t="s">
        <v>138</v>
      </c>
      <c r="D7" s="9">
        <v>12.969799999999999</v>
      </c>
      <c r="E7" s="9">
        <v>77.75</v>
      </c>
      <c r="F7" s="9">
        <v>40</v>
      </c>
      <c r="G7" s="9">
        <v>66</v>
      </c>
      <c r="H7" s="9">
        <v>11</v>
      </c>
      <c r="I7" s="10"/>
      <c r="J7" s="10"/>
      <c r="K7" s="9" t="s">
        <v>139</v>
      </c>
      <c r="L7" s="10"/>
      <c r="M7" s="9" t="s">
        <v>140</v>
      </c>
      <c r="N7" s="10"/>
    </row>
    <row r="8" spans="1:14" x14ac:dyDescent="0.2">
      <c r="A8" s="9" t="s">
        <v>141</v>
      </c>
      <c r="B8" s="9" t="s">
        <v>142</v>
      </c>
      <c r="C8" s="9" t="s">
        <v>143</v>
      </c>
      <c r="D8" s="9">
        <v>12.9308</v>
      </c>
      <c r="E8" s="9">
        <v>77.593100000000007</v>
      </c>
      <c r="F8" s="9">
        <v>40</v>
      </c>
      <c r="G8" s="9">
        <v>66</v>
      </c>
      <c r="H8" s="9">
        <v>11</v>
      </c>
      <c r="I8" s="10"/>
      <c r="J8" s="10"/>
      <c r="K8" s="9" t="s">
        <v>131</v>
      </c>
      <c r="L8" s="10"/>
      <c r="M8" s="9" t="s">
        <v>132</v>
      </c>
      <c r="N8" s="10"/>
    </row>
    <row r="9" spans="1:14" x14ac:dyDescent="0.2">
      <c r="A9" s="9" t="s">
        <v>144</v>
      </c>
      <c r="B9" s="9" t="s">
        <v>145</v>
      </c>
      <c r="C9" s="9" t="s">
        <v>146</v>
      </c>
      <c r="D9" s="9">
        <v>13.0627</v>
      </c>
      <c r="E9" s="9">
        <v>77.593999999999994</v>
      </c>
      <c r="F9" s="9">
        <v>315</v>
      </c>
      <c r="G9" s="9">
        <v>400</v>
      </c>
      <c r="H9" s="9">
        <v>220</v>
      </c>
      <c r="I9" s="10"/>
      <c r="J9" s="10"/>
      <c r="K9" s="9" t="s">
        <v>147</v>
      </c>
      <c r="L9" s="10"/>
      <c r="M9" s="9" t="s">
        <v>148</v>
      </c>
      <c r="N9" s="10"/>
    </row>
    <row r="12" spans="1:14" x14ac:dyDescent="0.2">
      <c r="A12" s="11" t="s">
        <v>149</v>
      </c>
    </row>
    <row r="13" spans="1:14" x14ac:dyDescent="0.2">
      <c r="A13" s="8" t="s">
        <v>150</v>
      </c>
      <c r="B13" s="8" t="s">
        <v>151</v>
      </c>
      <c r="C13" s="8" t="s">
        <v>152</v>
      </c>
      <c r="D13" s="8" t="s">
        <v>153</v>
      </c>
      <c r="E13" s="8" t="s">
        <v>154</v>
      </c>
    </row>
    <row r="14" spans="1:14" x14ac:dyDescent="0.2">
      <c r="A14" s="9" t="s">
        <v>155</v>
      </c>
      <c r="B14" s="9" t="s">
        <v>156</v>
      </c>
      <c r="C14" s="9" t="s">
        <v>157</v>
      </c>
      <c r="D14" s="9" t="s">
        <v>158</v>
      </c>
      <c r="E14" s="9" t="s">
        <v>159</v>
      </c>
    </row>
    <row r="15" spans="1:14" x14ac:dyDescent="0.2">
      <c r="A15" s="9" t="s">
        <v>160</v>
      </c>
      <c r="B15" s="9" t="s">
        <v>161</v>
      </c>
      <c r="C15" s="9" t="s">
        <v>162</v>
      </c>
      <c r="D15" s="9" t="s">
        <v>163</v>
      </c>
      <c r="E15" s="9" t="s">
        <v>159</v>
      </c>
    </row>
    <row r="16" spans="1:14" x14ac:dyDescent="0.2">
      <c r="A16" s="9" t="s">
        <v>164</v>
      </c>
      <c r="B16" s="9" t="s">
        <v>165</v>
      </c>
      <c r="C16" s="9" t="s">
        <v>166</v>
      </c>
      <c r="D16" s="9" t="s">
        <v>167</v>
      </c>
      <c r="E16" s="9" t="s">
        <v>168</v>
      </c>
    </row>
    <row r="17" spans="1:5" x14ac:dyDescent="0.2">
      <c r="A17" s="9" t="s">
        <v>169</v>
      </c>
      <c r="B17" s="9" t="s">
        <v>165</v>
      </c>
      <c r="C17" s="9" t="s">
        <v>170</v>
      </c>
      <c r="D17" s="9" t="s">
        <v>171</v>
      </c>
      <c r="E17" s="9" t="s">
        <v>168</v>
      </c>
    </row>
    <row r="18" spans="1:5" x14ac:dyDescent="0.2">
      <c r="A18" s="9" t="s">
        <v>172</v>
      </c>
      <c r="B18" s="9" t="s">
        <v>163</v>
      </c>
      <c r="C18" s="9" t="s">
        <v>173</v>
      </c>
      <c r="D18" s="9" t="s">
        <v>174</v>
      </c>
      <c r="E18" s="9" t="s">
        <v>175</v>
      </c>
    </row>
    <row r="19" spans="1:5" x14ac:dyDescent="0.2">
      <c r="A19" s="9" t="s">
        <v>176</v>
      </c>
      <c r="B19" s="9" t="s">
        <v>177</v>
      </c>
      <c r="C19" s="9" t="s">
        <v>178</v>
      </c>
      <c r="D19" s="9" t="s">
        <v>163</v>
      </c>
      <c r="E19" s="9" t="s">
        <v>175</v>
      </c>
    </row>
    <row r="20" spans="1:5" x14ac:dyDescent="0.2">
      <c r="A20" s="9" t="s">
        <v>179</v>
      </c>
      <c r="B20" s="9" t="s">
        <v>180</v>
      </c>
      <c r="C20" s="9" t="s">
        <v>181</v>
      </c>
      <c r="D20" s="9" t="s">
        <v>182</v>
      </c>
      <c r="E20" s="9" t="s">
        <v>183</v>
      </c>
    </row>
    <row r="21" spans="1:5" x14ac:dyDescent="0.2">
      <c r="A21" s="9" t="s">
        <v>184</v>
      </c>
      <c r="B21" s="9" t="s">
        <v>180</v>
      </c>
      <c r="C21" s="9" t="s">
        <v>185</v>
      </c>
      <c r="D21" s="9" t="s">
        <v>186</v>
      </c>
      <c r="E21" s="9" t="s">
        <v>183</v>
      </c>
    </row>
    <row r="22" spans="1:5" x14ac:dyDescent="0.2">
      <c r="A22" s="9" t="s">
        <v>187</v>
      </c>
      <c r="B22" s="9" t="s">
        <v>180</v>
      </c>
      <c r="C22" s="9" t="s">
        <v>188</v>
      </c>
      <c r="D22" s="9" t="s">
        <v>189</v>
      </c>
      <c r="E22" s="9" t="s">
        <v>183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zoomScaleNormal="100" workbookViewId="0">
      <pane ySplit="4" topLeftCell="A5" activePane="bottomLeft" state="frozen"/>
      <selection pane="bottomLeft" sqref="A1:K1"/>
    </sheetView>
  </sheetViews>
  <sheetFormatPr baseColWidth="10" defaultColWidth="8.6640625" defaultRowHeight="15" x14ac:dyDescent="0.2"/>
  <cols>
    <col min="1" max="1" width="10" customWidth="1"/>
    <col min="2" max="2" width="28" customWidth="1"/>
    <col min="3" max="4" width="12" customWidth="1"/>
    <col min="5" max="9" width="16" customWidth="1"/>
    <col min="10" max="10" width="14" customWidth="1"/>
    <col min="11" max="11" width="30" customWidth="1"/>
  </cols>
  <sheetData>
    <row r="1" spans="1:11" ht="21.75" customHeight="1" x14ac:dyDescent="0.25">
      <c r="A1" s="4" t="s">
        <v>190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75" customHeight="1" x14ac:dyDescent="0.2">
      <c r="A2" s="3" t="s">
        <v>113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x14ac:dyDescent="0.2">
      <c r="A4" s="8" t="s">
        <v>191</v>
      </c>
      <c r="B4" s="8" t="s">
        <v>115</v>
      </c>
      <c r="C4" s="8" t="s">
        <v>192</v>
      </c>
      <c r="D4" s="8" t="s">
        <v>193</v>
      </c>
      <c r="E4" s="8" t="s">
        <v>194</v>
      </c>
      <c r="F4" s="8" t="s">
        <v>195</v>
      </c>
      <c r="G4" s="8" t="s">
        <v>196</v>
      </c>
      <c r="H4" s="8" t="s">
        <v>197</v>
      </c>
      <c r="I4" s="8" t="s">
        <v>122</v>
      </c>
      <c r="J4" s="8" t="s">
        <v>124</v>
      </c>
      <c r="K4" s="8" t="s">
        <v>127</v>
      </c>
    </row>
    <row r="5" spans="1:11" x14ac:dyDescent="0.2">
      <c r="A5" s="9" t="s">
        <v>198</v>
      </c>
      <c r="B5" s="9" t="s">
        <v>199</v>
      </c>
      <c r="C5" s="9">
        <v>220</v>
      </c>
      <c r="D5" s="9">
        <v>22.4</v>
      </c>
      <c r="E5" s="9">
        <v>320</v>
      </c>
      <c r="F5" s="9" t="s">
        <v>130</v>
      </c>
      <c r="G5" s="9" t="s">
        <v>138</v>
      </c>
      <c r="H5" s="10"/>
      <c r="I5" s="10"/>
      <c r="J5" s="9" t="s">
        <v>131</v>
      </c>
      <c r="K5" s="10"/>
    </row>
    <row r="6" spans="1:11" x14ac:dyDescent="0.2">
      <c r="A6" s="9" t="s">
        <v>200</v>
      </c>
      <c r="B6" s="9" t="s">
        <v>201</v>
      </c>
      <c r="C6" s="9">
        <v>66</v>
      </c>
      <c r="D6" s="9">
        <v>11.8</v>
      </c>
      <c r="E6" s="9">
        <v>80</v>
      </c>
      <c r="F6" s="9" t="s">
        <v>135</v>
      </c>
      <c r="G6" s="9" t="s">
        <v>143</v>
      </c>
      <c r="H6" s="10"/>
      <c r="I6" s="10"/>
      <c r="J6" s="9" t="s">
        <v>202</v>
      </c>
      <c r="K6" s="10"/>
    </row>
    <row r="7" spans="1:11" x14ac:dyDescent="0.2">
      <c r="A7" s="9" t="s">
        <v>203</v>
      </c>
      <c r="B7" s="9" t="s">
        <v>204</v>
      </c>
      <c r="C7" s="9">
        <v>400</v>
      </c>
      <c r="D7" s="9">
        <v>8.1999999999999993</v>
      </c>
      <c r="E7" s="9">
        <v>630</v>
      </c>
      <c r="F7" s="9" t="s">
        <v>146</v>
      </c>
      <c r="G7" s="9" t="s">
        <v>130</v>
      </c>
      <c r="H7" s="10"/>
      <c r="I7" s="10"/>
      <c r="J7" s="9" t="s">
        <v>131</v>
      </c>
      <c r="K7" s="10"/>
    </row>
    <row r="10" spans="1:11" x14ac:dyDescent="0.2">
      <c r="A10" s="11" t="s">
        <v>205</v>
      </c>
    </row>
    <row r="11" spans="1:11" x14ac:dyDescent="0.2">
      <c r="A11" s="8" t="s">
        <v>150</v>
      </c>
      <c r="B11" s="8" t="s">
        <v>151</v>
      </c>
      <c r="C11" s="8" t="s">
        <v>152</v>
      </c>
      <c r="D11" s="8" t="s">
        <v>153</v>
      </c>
      <c r="E11" s="8" t="s">
        <v>154</v>
      </c>
    </row>
    <row r="12" spans="1:11" x14ac:dyDescent="0.2">
      <c r="A12" s="9" t="s">
        <v>206</v>
      </c>
      <c r="B12" s="9" t="s">
        <v>207</v>
      </c>
      <c r="C12" s="9" t="s">
        <v>208</v>
      </c>
      <c r="D12" s="9" t="s">
        <v>163</v>
      </c>
      <c r="E12" s="9" t="s">
        <v>209</v>
      </c>
    </row>
    <row r="13" spans="1:11" x14ac:dyDescent="0.2">
      <c r="A13" s="9" t="s">
        <v>210</v>
      </c>
      <c r="B13" s="9" t="s">
        <v>161</v>
      </c>
      <c r="C13" s="9" t="s">
        <v>211</v>
      </c>
      <c r="D13" s="9" t="s">
        <v>163</v>
      </c>
      <c r="E13" s="9" t="s">
        <v>212</v>
      </c>
    </row>
    <row r="14" spans="1:11" x14ac:dyDescent="0.2">
      <c r="A14" s="9" t="s">
        <v>213</v>
      </c>
      <c r="B14" s="9" t="s">
        <v>156</v>
      </c>
      <c r="C14" s="9" t="s">
        <v>214</v>
      </c>
      <c r="D14" s="9" t="s">
        <v>215</v>
      </c>
      <c r="E14" s="9" t="s">
        <v>216</v>
      </c>
    </row>
    <row r="15" spans="1:11" x14ac:dyDescent="0.2">
      <c r="A15" s="9" t="s">
        <v>217</v>
      </c>
      <c r="B15" s="9" t="s">
        <v>165</v>
      </c>
      <c r="C15" s="9" t="s">
        <v>218</v>
      </c>
      <c r="D15" s="9" t="s">
        <v>167</v>
      </c>
      <c r="E15" s="9" t="s">
        <v>219</v>
      </c>
    </row>
    <row r="16" spans="1:11" x14ac:dyDescent="0.2">
      <c r="A16" s="9" t="s">
        <v>220</v>
      </c>
      <c r="B16" s="9" t="s">
        <v>221</v>
      </c>
      <c r="C16" s="9" t="s">
        <v>222</v>
      </c>
      <c r="D16" s="9" t="s">
        <v>223</v>
      </c>
      <c r="E16" s="9" t="s">
        <v>224</v>
      </c>
    </row>
    <row r="17" spans="1:5" x14ac:dyDescent="0.2">
      <c r="A17" s="9" t="s">
        <v>225</v>
      </c>
      <c r="B17" s="9" t="s">
        <v>156</v>
      </c>
      <c r="C17" s="9" t="s">
        <v>226</v>
      </c>
      <c r="D17" s="9" t="s">
        <v>227</v>
      </c>
      <c r="E17" s="9" t="s">
        <v>175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zoomScaleNormal="100" workbookViewId="0">
      <pane ySplit="4" topLeftCell="A5" activePane="bottomLeft" state="frozen"/>
      <selection pane="bottomLeft" sqref="A1:J1"/>
    </sheetView>
  </sheetViews>
  <sheetFormatPr baseColWidth="10" defaultColWidth="8.6640625" defaultRowHeight="15" x14ac:dyDescent="0.2"/>
  <cols>
    <col min="1" max="1" width="10" customWidth="1"/>
    <col min="2" max="2" width="14" customWidth="1"/>
    <col min="3" max="3" width="26" customWidth="1"/>
    <col min="4" max="5" width="12" customWidth="1"/>
    <col min="6" max="6" width="14" customWidth="1"/>
    <col min="7" max="7" width="12" customWidth="1"/>
    <col min="8" max="9" width="18" customWidth="1"/>
    <col min="10" max="10" width="30" customWidth="1"/>
  </cols>
  <sheetData>
    <row r="1" spans="1:10" ht="21.75" customHeight="1" x14ac:dyDescent="0.25">
      <c r="A1" s="4" t="s">
        <v>228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 customHeight="1" x14ac:dyDescent="0.2">
      <c r="A2" s="3" t="s">
        <v>113</v>
      </c>
      <c r="B2" s="3"/>
      <c r="C2" s="3"/>
      <c r="D2" s="3"/>
      <c r="E2" s="3"/>
      <c r="F2" s="3"/>
      <c r="G2" s="3"/>
      <c r="H2" s="3"/>
      <c r="I2" s="3"/>
      <c r="J2" s="3"/>
    </row>
    <row r="4" spans="1:10" x14ac:dyDescent="0.2">
      <c r="A4" s="8" t="s">
        <v>229</v>
      </c>
      <c r="B4" s="8" t="s">
        <v>115</v>
      </c>
      <c r="C4" s="8" t="s">
        <v>230</v>
      </c>
      <c r="D4" s="8" t="s">
        <v>117</v>
      </c>
      <c r="E4" s="8" t="s">
        <v>118</v>
      </c>
      <c r="F4" s="8" t="s">
        <v>231</v>
      </c>
      <c r="G4" s="8" t="s">
        <v>232</v>
      </c>
      <c r="H4" s="8" t="s">
        <v>233</v>
      </c>
      <c r="I4" s="8" t="s">
        <v>234</v>
      </c>
      <c r="J4" s="8" t="s">
        <v>127</v>
      </c>
    </row>
    <row r="5" spans="1:10" x14ac:dyDescent="0.2">
      <c r="A5" s="9" t="s">
        <v>235</v>
      </c>
      <c r="B5" s="9" t="s">
        <v>236</v>
      </c>
      <c r="C5" s="9" t="s">
        <v>237</v>
      </c>
      <c r="D5" s="9">
        <v>13.035</v>
      </c>
      <c r="E5" s="9">
        <v>77.596999999999994</v>
      </c>
      <c r="F5" s="9" t="s">
        <v>238</v>
      </c>
      <c r="G5" s="9">
        <v>35</v>
      </c>
      <c r="H5" s="9" t="s">
        <v>239</v>
      </c>
      <c r="I5" s="9" t="s">
        <v>131</v>
      </c>
      <c r="J5" s="10"/>
    </row>
    <row r="6" spans="1:10" x14ac:dyDescent="0.2">
      <c r="A6" s="9" t="s">
        <v>240</v>
      </c>
      <c r="B6" s="9" t="s">
        <v>241</v>
      </c>
      <c r="C6" s="9" t="s">
        <v>237</v>
      </c>
      <c r="D6" s="9">
        <v>13.026999999999999</v>
      </c>
      <c r="E6" s="9">
        <v>77.625</v>
      </c>
      <c r="F6" s="9" t="s">
        <v>238</v>
      </c>
      <c r="G6" s="9">
        <v>35</v>
      </c>
      <c r="H6" s="9" t="s">
        <v>239</v>
      </c>
      <c r="I6" s="9" t="s">
        <v>131</v>
      </c>
      <c r="J6" s="10"/>
    </row>
    <row r="7" spans="1:10" x14ac:dyDescent="0.2">
      <c r="A7" s="9" t="s">
        <v>242</v>
      </c>
      <c r="B7" s="9" t="s">
        <v>243</v>
      </c>
      <c r="C7" s="9" t="s">
        <v>237</v>
      </c>
      <c r="D7" s="9">
        <v>13.01</v>
      </c>
      <c r="E7" s="9">
        <v>77.658000000000001</v>
      </c>
      <c r="F7" s="9" t="s">
        <v>238</v>
      </c>
      <c r="G7" s="9">
        <v>35</v>
      </c>
      <c r="H7" s="9" t="s">
        <v>244</v>
      </c>
      <c r="I7" s="9" t="s">
        <v>245</v>
      </c>
      <c r="J7" s="10"/>
    </row>
    <row r="8" spans="1:10" x14ac:dyDescent="0.2">
      <c r="A8" s="9" t="s">
        <v>246</v>
      </c>
      <c r="B8" s="9" t="s">
        <v>247</v>
      </c>
      <c r="C8" s="9" t="s">
        <v>237</v>
      </c>
      <c r="D8" s="9">
        <v>12.99</v>
      </c>
      <c r="E8" s="9">
        <v>77.69</v>
      </c>
      <c r="F8" s="9" t="s">
        <v>238</v>
      </c>
      <c r="G8" s="9">
        <v>35</v>
      </c>
      <c r="H8" s="9" t="s">
        <v>248</v>
      </c>
      <c r="I8" s="9" t="s">
        <v>131</v>
      </c>
      <c r="J8" s="10"/>
    </row>
    <row r="9" spans="1:10" x14ac:dyDescent="0.2">
      <c r="A9" s="9" t="s">
        <v>249</v>
      </c>
      <c r="B9" s="9" t="s">
        <v>250</v>
      </c>
      <c r="C9" s="9" t="s">
        <v>237</v>
      </c>
      <c r="D9" s="9">
        <v>12.969799999999999</v>
      </c>
      <c r="E9" s="9">
        <v>77.75</v>
      </c>
      <c r="F9" s="9" t="s">
        <v>238</v>
      </c>
      <c r="G9" s="9">
        <v>35</v>
      </c>
      <c r="H9" s="9" t="s">
        <v>248</v>
      </c>
      <c r="I9" s="9" t="s">
        <v>131</v>
      </c>
      <c r="J9" s="10"/>
    </row>
    <row r="10" spans="1:10" x14ac:dyDescent="0.2">
      <c r="A10" s="9" t="s">
        <v>251</v>
      </c>
      <c r="B10" s="9" t="s">
        <v>252</v>
      </c>
      <c r="C10" s="9" t="s">
        <v>253</v>
      </c>
      <c r="D10" s="9">
        <v>13.0237</v>
      </c>
      <c r="E10" s="9">
        <v>77.549000000000007</v>
      </c>
      <c r="F10" s="9" t="s">
        <v>254</v>
      </c>
      <c r="G10" s="9">
        <v>28</v>
      </c>
      <c r="H10" s="9" t="s">
        <v>255</v>
      </c>
      <c r="I10" s="9" t="s">
        <v>131</v>
      </c>
      <c r="J10" s="10"/>
    </row>
    <row r="11" spans="1:10" x14ac:dyDescent="0.2">
      <c r="A11" s="9" t="s">
        <v>256</v>
      </c>
      <c r="B11" s="9" t="s">
        <v>257</v>
      </c>
      <c r="C11" s="9" t="s">
        <v>253</v>
      </c>
      <c r="D11" s="9">
        <v>12.99</v>
      </c>
      <c r="E11" s="9">
        <v>77.56</v>
      </c>
      <c r="F11" s="9" t="s">
        <v>254</v>
      </c>
      <c r="G11" s="9">
        <v>28</v>
      </c>
      <c r="H11" s="9" t="s">
        <v>258</v>
      </c>
      <c r="I11" s="9" t="s">
        <v>259</v>
      </c>
      <c r="J11" s="10"/>
    </row>
    <row r="12" spans="1:10" x14ac:dyDescent="0.2">
      <c r="A12" s="9" t="s">
        <v>260</v>
      </c>
      <c r="B12" s="9" t="s">
        <v>261</v>
      </c>
      <c r="C12" s="9" t="s">
        <v>253</v>
      </c>
      <c r="D12" s="9">
        <v>12.96</v>
      </c>
      <c r="E12" s="9">
        <v>77.575000000000003</v>
      </c>
      <c r="F12" s="9" t="s">
        <v>254</v>
      </c>
      <c r="G12" s="9">
        <v>28</v>
      </c>
      <c r="H12" s="9" t="s">
        <v>255</v>
      </c>
      <c r="I12" s="9" t="s">
        <v>131</v>
      </c>
      <c r="J12" s="10"/>
    </row>
    <row r="13" spans="1:10" x14ac:dyDescent="0.2">
      <c r="A13" s="9" t="s">
        <v>262</v>
      </c>
      <c r="B13" s="9" t="s">
        <v>263</v>
      </c>
      <c r="C13" s="9" t="s">
        <v>253</v>
      </c>
      <c r="D13" s="9">
        <v>12.9308</v>
      </c>
      <c r="E13" s="9">
        <v>77.593100000000007</v>
      </c>
      <c r="F13" s="9" t="s">
        <v>254</v>
      </c>
      <c r="G13" s="9">
        <v>28</v>
      </c>
      <c r="H13" s="9" t="s">
        <v>255</v>
      </c>
      <c r="I13" s="9" t="s">
        <v>131</v>
      </c>
      <c r="J13" s="10"/>
    </row>
    <row r="16" spans="1:10" x14ac:dyDescent="0.2">
      <c r="A16" s="11" t="s">
        <v>264</v>
      </c>
    </row>
    <row r="17" spans="1:5" x14ac:dyDescent="0.2">
      <c r="A17" s="8" t="s">
        <v>150</v>
      </c>
      <c r="B17" s="8" t="s">
        <v>151</v>
      </c>
      <c r="C17" s="8" t="s">
        <v>152</v>
      </c>
      <c r="D17" s="8" t="s">
        <v>153</v>
      </c>
      <c r="E17" s="8" t="s">
        <v>154</v>
      </c>
    </row>
    <row r="18" spans="1:5" x14ac:dyDescent="0.2">
      <c r="A18" s="9" t="s">
        <v>265</v>
      </c>
      <c r="B18" s="9" t="s">
        <v>156</v>
      </c>
      <c r="C18" s="9" t="s">
        <v>266</v>
      </c>
      <c r="D18" s="9" t="s">
        <v>267</v>
      </c>
      <c r="E18" s="9" t="s">
        <v>268</v>
      </c>
    </row>
    <row r="19" spans="1:5" x14ac:dyDescent="0.2">
      <c r="A19" s="9" t="s">
        <v>269</v>
      </c>
      <c r="B19" s="9" t="s">
        <v>156</v>
      </c>
      <c r="C19" s="9" t="s">
        <v>270</v>
      </c>
      <c r="D19" s="9" t="s">
        <v>271</v>
      </c>
      <c r="E19" s="9" t="s">
        <v>272</v>
      </c>
    </row>
    <row r="20" spans="1:5" x14ac:dyDescent="0.2">
      <c r="A20" s="9" t="s">
        <v>273</v>
      </c>
      <c r="B20" s="9" t="s">
        <v>156</v>
      </c>
      <c r="C20" s="9" t="s">
        <v>274</v>
      </c>
      <c r="D20" s="9" t="s">
        <v>275</v>
      </c>
      <c r="E20" s="9" t="s">
        <v>276</v>
      </c>
    </row>
    <row r="21" spans="1:5" x14ac:dyDescent="0.2">
      <c r="A21" s="9" t="s">
        <v>277</v>
      </c>
      <c r="B21" s="9" t="s">
        <v>221</v>
      </c>
      <c r="C21" s="9" t="s">
        <v>278</v>
      </c>
      <c r="D21" s="9" t="s">
        <v>279</v>
      </c>
      <c r="E21" s="9" t="s">
        <v>280</v>
      </c>
    </row>
    <row r="22" spans="1:5" x14ac:dyDescent="0.2">
      <c r="A22" s="9" t="s">
        <v>281</v>
      </c>
      <c r="B22" s="9" t="s">
        <v>282</v>
      </c>
      <c r="C22" s="9" t="s">
        <v>283</v>
      </c>
      <c r="D22" s="9" t="s">
        <v>284</v>
      </c>
      <c r="E22" s="9" t="s">
        <v>285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tabSelected="1" zoomScaleNormal="100" workbookViewId="0">
      <pane ySplit="5" topLeftCell="A6" activePane="bottomLeft" state="frozen"/>
      <selection pane="bottomLeft" sqref="A1:I1"/>
    </sheetView>
  </sheetViews>
  <sheetFormatPr baseColWidth="10" defaultColWidth="8.6640625" defaultRowHeight="15" x14ac:dyDescent="0.2"/>
  <cols>
    <col min="1" max="1" width="14" customWidth="1"/>
    <col min="2" max="2" width="26" customWidth="1"/>
    <col min="3" max="4" width="12" customWidth="1"/>
    <col min="5" max="5" width="18" customWidth="1"/>
    <col min="6" max="6" width="20" customWidth="1"/>
    <col min="7" max="8" width="14" customWidth="1"/>
    <col min="9" max="9" width="30" customWidth="1"/>
  </cols>
  <sheetData>
    <row r="1" spans="1:9" ht="21.75" customHeight="1" x14ac:dyDescent="0.25">
      <c r="A1" s="4" t="s">
        <v>286</v>
      </c>
      <c r="B1" s="4"/>
      <c r="C1" s="4"/>
      <c r="D1" s="4"/>
      <c r="E1" s="4"/>
      <c r="F1" s="4"/>
      <c r="G1" s="4"/>
      <c r="H1" s="4"/>
      <c r="I1" s="4"/>
    </row>
    <row r="2" spans="1:9" ht="15.75" customHeight="1" x14ac:dyDescent="0.2">
      <c r="A2" s="3" t="s">
        <v>113</v>
      </c>
      <c r="B2" s="3"/>
      <c r="C2" s="3"/>
      <c r="D2" s="3"/>
      <c r="E2" s="3"/>
      <c r="F2" s="3"/>
      <c r="G2" s="3"/>
      <c r="H2" s="3"/>
      <c r="I2" s="3"/>
    </row>
    <row r="4" spans="1:9" x14ac:dyDescent="0.2">
      <c r="A4" s="11" t="s">
        <v>287</v>
      </c>
    </row>
    <row r="5" spans="1:9" ht="30" x14ac:dyDescent="0.2">
      <c r="A5" s="8" t="s">
        <v>288</v>
      </c>
      <c r="B5" s="8" t="s">
        <v>115</v>
      </c>
      <c r="C5" s="8" t="s">
        <v>116</v>
      </c>
      <c r="D5" s="8" t="s">
        <v>289</v>
      </c>
      <c r="E5" s="8" t="s">
        <v>117</v>
      </c>
      <c r="F5" s="8" t="s">
        <v>118</v>
      </c>
      <c r="G5" s="8" t="s">
        <v>122</v>
      </c>
      <c r="H5" s="8" t="s">
        <v>234</v>
      </c>
      <c r="I5" s="8" t="s">
        <v>127</v>
      </c>
    </row>
    <row r="6" spans="1:9" x14ac:dyDescent="0.2">
      <c r="A6" s="9" t="s">
        <v>290</v>
      </c>
      <c r="B6" s="9" t="s">
        <v>291</v>
      </c>
      <c r="C6" s="9" t="s">
        <v>130</v>
      </c>
      <c r="D6" s="9">
        <v>100</v>
      </c>
      <c r="E6" s="9">
        <v>13.035500000000001</v>
      </c>
      <c r="F6" s="9">
        <v>77.597499999999997</v>
      </c>
      <c r="G6" s="10"/>
      <c r="H6" s="9" t="s">
        <v>292</v>
      </c>
      <c r="I6" s="9"/>
    </row>
    <row r="7" spans="1:9" x14ac:dyDescent="0.2">
      <c r="A7" s="9" t="s">
        <v>293</v>
      </c>
      <c r="B7" s="9" t="s">
        <v>294</v>
      </c>
      <c r="C7" s="9" t="s">
        <v>138</v>
      </c>
      <c r="D7" s="9">
        <v>50</v>
      </c>
      <c r="E7" s="9">
        <v>12.9702</v>
      </c>
      <c r="F7" s="9">
        <v>77.750500000000002</v>
      </c>
      <c r="G7" s="10"/>
      <c r="H7" s="9" t="s">
        <v>292</v>
      </c>
      <c r="I7" s="9"/>
    </row>
    <row r="10" spans="1:9" x14ac:dyDescent="0.2">
      <c r="A10" s="11" t="s">
        <v>295</v>
      </c>
    </row>
    <row r="11" spans="1:9" x14ac:dyDescent="0.2">
      <c r="A11" s="8" t="s">
        <v>296</v>
      </c>
      <c r="B11" s="8" t="s">
        <v>115</v>
      </c>
      <c r="C11" s="8" t="s">
        <v>117</v>
      </c>
      <c r="D11" s="8" t="s">
        <v>118</v>
      </c>
      <c r="E11" s="8" t="s">
        <v>297</v>
      </c>
      <c r="F11" s="8" t="s">
        <v>298</v>
      </c>
      <c r="G11" s="8" t="s">
        <v>234</v>
      </c>
      <c r="H11" s="8" t="s">
        <v>127</v>
      </c>
    </row>
    <row r="12" spans="1:9" x14ac:dyDescent="0.2">
      <c r="A12" s="9" t="s">
        <v>299</v>
      </c>
      <c r="B12" s="9" t="s">
        <v>300</v>
      </c>
      <c r="C12" s="9">
        <v>13.035</v>
      </c>
      <c r="D12" s="9">
        <v>77.596999999999994</v>
      </c>
      <c r="E12" s="9" t="s">
        <v>301</v>
      </c>
      <c r="F12" s="9" t="s">
        <v>302</v>
      </c>
      <c r="G12" s="9" t="s">
        <v>131</v>
      </c>
      <c r="H12" s="10"/>
    </row>
    <row r="13" spans="1:9" x14ac:dyDescent="0.2">
      <c r="A13" s="9" t="s">
        <v>303</v>
      </c>
      <c r="B13" s="9" t="s">
        <v>304</v>
      </c>
      <c r="C13" s="9">
        <v>13.0237</v>
      </c>
      <c r="D13" s="9">
        <v>77.549000000000007</v>
      </c>
      <c r="E13" s="9" t="s">
        <v>301</v>
      </c>
      <c r="F13" s="9" t="s">
        <v>302</v>
      </c>
      <c r="G13" s="9" t="s">
        <v>131</v>
      </c>
      <c r="H13" s="10"/>
    </row>
    <row r="14" spans="1:9" x14ac:dyDescent="0.2">
      <c r="A14" s="9" t="s">
        <v>305</v>
      </c>
      <c r="B14" s="9" t="s">
        <v>306</v>
      </c>
      <c r="C14" s="9">
        <v>12.969799999999999</v>
      </c>
      <c r="D14" s="9">
        <v>77.75</v>
      </c>
      <c r="E14" s="9" t="s">
        <v>307</v>
      </c>
      <c r="F14" s="9" t="s">
        <v>302</v>
      </c>
      <c r="G14" s="9" t="s">
        <v>139</v>
      </c>
      <c r="H14" s="10"/>
    </row>
    <row r="15" spans="1:9" x14ac:dyDescent="0.2">
      <c r="A15" s="9" t="s">
        <v>308</v>
      </c>
      <c r="B15" s="9" t="s">
        <v>309</v>
      </c>
      <c r="C15" s="9">
        <v>12.9308</v>
      </c>
      <c r="D15" s="9">
        <v>77.593100000000007</v>
      </c>
      <c r="E15" s="9" t="s">
        <v>307</v>
      </c>
      <c r="F15" s="9" t="s">
        <v>302</v>
      </c>
      <c r="G15" s="9" t="s">
        <v>131</v>
      </c>
      <c r="H15" s="10"/>
    </row>
    <row r="16" spans="1:9" x14ac:dyDescent="0.2">
      <c r="A16" s="9" t="s">
        <v>310</v>
      </c>
      <c r="B16" s="9" t="s">
        <v>311</v>
      </c>
      <c r="C16" s="9">
        <v>13.0627</v>
      </c>
      <c r="D16" s="9">
        <v>77.593999999999994</v>
      </c>
      <c r="E16" s="9" t="s">
        <v>312</v>
      </c>
      <c r="F16" s="9" t="s">
        <v>302</v>
      </c>
      <c r="G16" s="9" t="s">
        <v>147</v>
      </c>
      <c r="H16" s="10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 x14ac:dyDescent="0.2"/>
  <cols>
    <col min="1" max="1" width="16" customWidth="1"/>
    <col min="2" max="2" width="10" customWidth="1"/>
    <col min="3" max="3" width="36" customWidth="1"/>
    <col min="4" max="4" width="22" customWidth="1"/>
    <col min="5" max="6" width="24" customWidth="1"/>
  </cols>
  <sheetData>
    <row r="1" spans="1:6" ht="21.75" customHeight="1" x14ac:dyDescent="0.25">
      <c r="A1" s="4" t="s">
        <v>313</v>
      </c>
      <c r="B1" s="4"/>
      <c r="C1" s="4"/>
      <c r="D1" s="4"/>
      <c r="E1" s="4"/>
      <c r="F1" s="4"/>
    </row>
    <row r="2" spans="1:6" ht="15.75" customHeight="1" x14ac:dyDescent="0.2">
      <c r="A2" s="3" t="s">
        <v>113</v>
      </c>
      <c r="B2" s="3"/>
      <c r="C2" s="3"/>
      <c r="D2" s="3"/>
      <c r="E2" s="3"/>
      <c r="F2" s="3"/>
    </row>
    <row r="4" spans="1:6" x14ac:dyDescent="0.2">
      <c r="A4" s="8" t="s">
        <v>150</v>
      </c>
      <c r="B4" s="8" t="s">
        <v>151</v>
      </c>
      <c r="C4" s="8" t="s">
        <v>152</v>
      </c>
      <c r="D4" s="8" t="s">
        <v>314</v>
      </c>
      <c r="E4" s="8" t="s">
        <v>153</v>
      </c>
      <c r="F4" s="8" t="s">
        <v>154</v>
      </c>
    </row>
    <row r="5" spans="1:6" x14ac:dyDescent="0.2">
      <c r="A5" s="9" t="s">
        <v>315</v>
      </c>
      <c r="B5" s="9" t="s">
        <v>316</v>
      </c>
      <c r="C5" s="9" t="s">
        <v>317</v>
      </c>
      <c r="D5" s="12">
        <v>50</v>
      </c>
      <c r="E5" s="9" t="s">
        <v>318</v>
      </c>
      <c r="F5" s="10" t="s">
        <v>319</v>
      </c>
    </row>
    <row r="6" spans="1:6" x14ac:dyDescent="0.2">
      <c r="A6" s="9" t="s">
        <v>320</v>
      </c>
      <c r="B6" s="9" t="s">
        <v>321</v>
      </c>
      <c r="C6" s="9" t="s">
        <v>322</v>
      </c>
      <c r="D6" s="12">
        <v>2800</v>
      </c>
      <c r="E6" s="9" t="s">
        <v>163</v>
      </c>
      <c r="F6" s="10" t="s">
        <v>323</v>
      </c>
    </row>
    <row r="7" spans="1:6" x14ac:dyDescent="0.2">
      <c r="A7" s="9" t="s">
        <v>324</v>
      </c>
      <c r="B7" s="9" t="s">
        <v>321</v>
      </c>
      <c r="C7" s="9" t="s">
        <v>325</v>
      </c>
      <c r="D7" s="12">
        <v>2650</v>
      </c>
      <c r="E7" s="9" t="s">
        <v>163</v>
      </c>
      <c r="F7" s="10" t="s">
        <v>323</v>
      </c>
    </row>
    <row r="8" spans="1:6" x14ac:dyDescent="0.2">
      <c r="A8" s="9" t="s">
        <v>326</v>
      </c>
      <c r="B8" s="9" t="s">
        <v>327</v>
      </c>
      <c r="C8" s="9" t="s">
        <v>328</v>
      </c>
      <c r="D8" s="12">
        <v>1</v>
      </c>
      <c r="E8" s="9" t="s">
        <v>329</v>
      </c>
      <c r="F8" s="10" t="s">
        <v>175</v>
      </c>
    </row>
    <row r="9" spans="1:6" x14ac:dyDescent="0.2">
      <c r="A9" s="9" t="s">
        <v>330</v>
      </c>
      <c r="B9" s="9" t="s">
        <v>331</v>
      </c>
      <c r="C9" s="9" t="s">
        <v>332</v>
      </c>
      <c r="D9" s="12">
        <v>170</v>
      </c>
      <c r="E9" s="9" t="s">
        <v>333</v>
      </c>
      <c r="F9" s="10" t="s">
        <v>323</v>
      </c>
    </row>
    <row r="10" spans="1:6" x14ac:dyDescent="0.2">
      <c r="A10" s="9" t="s">
        <v>334</v>
      </c>
      <c r="B10" s="9" t="s">
        <v>321</v>
      </c>
      <c r="C10" s="9" t="s">
        <v>335</v>
      </c>
      <c r="D10" s="12">
        <v>250</v>
      </c>
      <c r="E10" s="9" t="s">
        <v>336</v>
      </c>
      <c r="F10" s="10" t="s">
        <v>323</v>
      </c>
    </row>
    <row r="11" spans="1:6" x14ac:dyDescent="0.2">
      <c r="A11" s="9" t="s">
        <v>337</v>
      </c>
      <c r="B11" s="9" t="s">
        <v>338</v>
      </c>
      <c r="C11" s="9" t="s">
        <v>339</v>
      </c>
      <c r="D11" s="12">
        <v>5</v>
      </c>
      <c r="E11" s="9" t="s">
        <v>340</v>
      </c>
      <c r="F11" s="10" t="s">
        <v>341</v>
      </c>
    </row>
    <row r="14" spans="1:6" ht="30" customHeight="1" x14ac:dyDescent="0.2">
      <c r="A14" s="1" t="s">
        <v>342</v>
      </c>
      <c r="B14" s="1"/>
      <c r="C14" s="1"/>
      <c r="D14" s="1"/>
      <c r="E14" s="1"/>
      <c r="F14" s="1"/>
    </row>
  </sheetData>
  <mergeCells count="3">
    <mergeCell ref="A1:F1"/>
    <mergeCell ref="A2:F2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zoomScaleNormal="100" workbookViewId="0">
      <pane ySplit="4" topLeftCell="A5" activePane="bottomLeft" state="frozen"/>
      <selection pane="bottomLeft" sqref="A1:H1"/>
    </sheetView>
  </sheetViews>
  <sheetFormatPr baseColWidth="10" defaultColWidth="8.6640625" defaultRowHeight="15" x14ac:dyDescent="0.2"/>
  <cols>
    <col min="1" max="1" width="5" customWidth="1"/>
    <col min="2" max="2" width="22" customWidth="1"/>
    <col min="3" max="3" width="12" customWidth="1"/>
    <col min="4" max="4" width="18" customWidth="1"/>
    <col min="5" max="6" width="14" customWidth="1"/>
    <col min="7" max="7" width="22" customWidth="1"/>
    <col min="8" max="8" width="30" customWidth="1"/>
  </cols>
  <sheetData>
    <row r="1" spans="1:8" ht="21.75" customHeight="1" x14ac:dyDescent="0.25">
      <c r="A1" s="4" t="s">
        <v>343</v>
      </c>
      <c r="B1" s="4"/>
      <c r="C1" s="4"/>
      <c r="D1" s="4"/>
      <c r="E1" s="4"/>
      <c r="F1" s="4"/>
      <c r="G1" s="4"/>
      <c r="H1" s="4"/>
    </row>
    <row r="2" spans="1:8" ht="15.75" customHeight="1" x14ac:dyDescent="0.2">
      <c r="A2" s="3" t="s">
        <v>113</v>
      </c>
      <c r="B2" s="3"/>
      <c r="C2" s="3"/>
      <c r="D2" s="3"/>
      <c r="E2" s="3"/>
      <c r="F2" s="3"/>
      <c r="G2" s="3"/>
      <c r="H2" s="3"/>
    </row>
    <row r="4" spans="1:8" x14ac:dyDescent="0.2">
      <c r="A4" s="8" t="s">
        <v>14</v>
      </c>
      <c r="B4" s="8" t="s">
        <v>344</v>
      </c>
      <c r="C4" s="8" t="s">
        <v>345</v>
      </c>
      <c r="D4" s="8" t="s">
        <v>346</v>
      </c>
      <c r="E4" s="8" t="s">
        <v>347</v>
      </c>
      <c r="F4" s="8" t="s">
        <v>348</v>
      </c>
      <c r="G4" s="8" t="s">
        <v>349</v>
      </c>
      <c r="H4" s="8" t="s">
        <v>127</v>
      </c>
    </row>
    <row r="5" spans="1:8" x14ac:dyDescent="0.2">
      <c r="A5" s="9">
        <v>1</v>
      </c>
      <c r="B5" s="9" t="s">
        <v>350</v>
      </c>
      <c r="C5" s="9" t="s">
        <v>351</v>
      </c>
      <c r="D5" s="12">
        <v>10480</v>
      </c>
      <c r="E5" s="12">
        <v>1.42</v>
      </c>
      <c r="F5" s="9">
        <v>1394</v>
      </c>
      <c r="G5" s="9" t="s">
        <v>352</v>
      </c>
      <c r="H5" s="10"/>
    </row>
    <row r="6" spans="1:8" x14ac:dyDescent="0.2">
      <c r="A6" s="9">
        <v>2</v>
      </c>
      <c r="B6" s="9" t="s">
        <v>353</v>
      </c>
      <c r="C6" s="9" t="s">
        <v>351</v>
      </c>
      <c r="D6" s="12">
        <v>8960</v>
      </c>
      <c r="E6" s="12">
        <v>5.28</v>
      </c>
      <c r="F6" s="9">
        <v>4650</v>
      </c>
      <c r="G6" s="9" t="s">
        <v>352</v>
      </c>
      <c r="H6" s="10"/>
    </row>
    <row r="7" spans="1:8" x14ac:dyDescent="0.2">
      <c r="A7" s="9">
        <v>3</v>
      </c>
      <c r="B7" s="9" t="s">
        <v>354</v>
      </c>
      <c r="C7" s="9" t="s">
        <v>351</v>
      </c>
      <c r="D7" s="12">
        <v>1100</v>
      </c>
      <c r="E7" s="12">
        <v>6.84</v>
      </c>
      <c r="F7" s="9">
        <v>807</v>
      </c>
      <c r="G7" s="9" t="s">
        <v>352</v>
      </c>
      <c r="H7" s="10"/>
    </row>
    <row r="8" spans="1:8" x14ac:dyDescent="0.2">
      <c r="A8" s="9">
        <v>4</v>
      </c>
      <c r="B8" s="9" t="s">
        <v>355</v>
      </c>
      <c r="C8" s="9" t="s">
        <v>351</v>
      </c>
      <c r="D8" s="12">
        <v>7200</v>
      </c>
      <c r="E8" s="12">
        <v>4.0199999999999996</v>
      </c>
      <c r="F8" s="9">
        <v>2822</v>
      </c>
      <c r="G8" s="9" t="s">
        <v>356</v>
      </c>
      <c r="H8" s="10"/>
    </row>
    <row r="9" spans="1:8" x14ac:dyDescent="0.2">
      <c r="A9" s="9">
        <v>5</v>
      </c>
      <c r="B9" s="9" t="s">
        <v>357</v>
      </c>
      <c r="C9" s="9" t="s">
        <v>351</v>
      </c>
      <c r="D9" s="12">
        <v>15200</v>
      </c>
      <c r="E9" s="12">
        <v>3.24</v>
      </c>
      <c r="F9" s="9">
        <v>4484</v>
      </c>
      <c r="G9" s="9" t="s">
        <v>352</v>
      </c>
      <c r="H9" s="10"/>
    </row>
    <row r="10" spans="1:8" x14ac:dyDescent="0.2">
      <c r="A10" s="9">
        <v>6</v>
      </c>
      <c r="B10" s="9" t="s">
        <v>358</v>
      </c>
      <c r="C10" s="9" t="s">
        <v>351</v>
      </c>
      <c r="D10" s="12">
        <v>8640</v>
      </c>
      <c r="E10" s="12">
        <v>3.84</v>
      </c>
      <c r="F10" s="9">
        <v>3164</v>
      </c>
      <c r="G10" s="9" t="s">
        <v>352</v>
      </c>
      <c r="H10" s="10"/>
    </row>
    <row r="11" spans="1:8" x14ac:dyDescent="0.2">
      <c r="A11" s="9">
        <v>7</v>
      </c>
      <c r="B11" s="9" t="s">
        <v>359</v>
      </c>
      <c r="C11" s="9" t="s">
        <v>351</v>
      </c>
      <c r="D11" s="12">
        <v>3980</v>
      </c>
      <c r="E11" s="12">
        <v>5.82</v>
      </c>
      <c r="F11" s="9">
        <v>2398</v>
      </c>
      <c r="G11" s="9" t="s">
        <v>352</v>
      </c>
      <c r="H11" s="10"/>
    </row>
    <row r="12" spans="1:8" x14ac:dyDescent="0.2">
      <c r="A12" s="9">
        <v>8</v>
      </c>
      <c r="B12" s="9" t="s">
        <v>360</v>
      </c>
      <c r="C12" s="9" t="s">
        <v>351</v>
      </c>
      <c r="D12" s="12">
        <v>4680</v>
      </c>
      <c r="E12" s="12">
        <v>6.42</v>
      </c>
      <c r="F12" s="9">
        <v>2748</v>
      </c>
      <c r="G12" s="9" t="s">
        <v>361</v>
      </c>
      <c r="H12" s="10"/>
    </row>
    <row r="13" spans="1:8" x14ac:dyDescent="0.2">
      <c r="A13" s="9">
        <v>9</v>
      </c>
      <c r="B13" s="9" t="s">
        <v>362</v>
      </c>
      <c r="C13" s="9" t="s">
        <v>351</v>
      </c>
      <c r="D13" s="12">
        <v>2380</v>
      </c>
      <c r="E13" s="12">
        <v>4.92</v>
      </c>
      <c r="F13" s="9">
        <v>1102</v>
      </c>
      <c r="G13" s="9" t="s">
        <v>361</v>
      </c>
      <c r="H13" s="10"/>
    </row>
    <row r="14" spans="1:8" x14ac:dyDescent="0.2">
      <c r="A14" s="9"/>
      <c r="B14" s="9" t="s">
        <v>363</v>
      </c>
      <c r="C14" s="9"/>
      <c r="D14" s="14">
        <f>SUM(D5:D13)</f>
        <v>62620</v>
      </c>
      <c r="E14" s="14">
        <f>F14*10/D14</f>
        <v>3.7638134781220058</v>
      </c>
      <c r="F14" s="14">
        <f>SUM(F5:F13)</f>
        <v>23569</v>
      </c>
      <c r="G14" s="9"/>
      <c r="H14" s="9"/>
    </row>
    <row r="16" spans="1:8" ht="27.75" customHeight="1" x14ac:dyDescent="0.2">
      <c r="A16" s="1" t="s">
        <v>364</v>
      </c>
      <c r="B16" s="1"/>
      <c r="C16" s="1"/>
      <c r="D16" s="1"/>
      <c r="E16" s="1"/>
      <c r="F16" s="1"/>
      <c r="G16" s="1"/>
      <c r="H16" s="1"/>
    </row>
  </sheetData>
  <mergeCells count="3">
    <mergeCell ref="A1:H1"/>
    <mergeCell ref="A2:H2"/>
    <mergeCell ref="A16:H1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zoomScaleNormal="100" workbookViewId="0">
      <pane ySplit="6" topLeftCell="A7" activePane="bottomLeft" state="frozen"/>
      <selection pane="bottomLeft" sqref="A1:H1"/>
    </sheetView>
  </sheetViews>
  <sheetFormatPr baseColWidth="10" defaultColWidth="8.6640625" defaultRowHeight="15" x14ac:dyDescent="0.2"/>
  <cols>
    <col min="1" max="1" width="22" customWidth="1"/>
    <col min="2" max="4" width="12" customWidth="1"/>
    <col min="5" max="5" width="14" customWidth="1"/>
    <col min="6" max="6" width="16" customWidth="1"/>
    <col min="7" max="7" width="20" customWidth="1"/>
    <col min="8" max="8" width="30" customWidth="1"/>
  </cols>
  <sheetData>
    <row r="1" spans="1:8" ht="21.75" customHeight="1" x14ac:dyDescent="0.25">
      <c r="A1" s="4" t="s">
        <v>365</v>
      </c>
      <c r="B1" s="4"/>
      <c r="C1" s="4"/>
      <c r="D1" s="4"/>
      <c r="E1" s="4"/>
      <c r="F1" s="4"/>
      <c r="G1" s="4"/>
      <c r="H1" s="4"/>
    </row>
    <row r="2" spans="1:8" ht="15.75" customHeight="1" x14ac:dyDescent="0.2">
      <c r="A2" s="3" t="s">
        <v>113</v>
      </c>
      <c r="B2" s="3"/>
      <c r="C2" s="3"/>
      <c r="D2" s="3"/>
      <c r="E2" s="3"/>
      <c r="F2" s="3"/>
      <c r="G2" s="3"/>
      <c r="H2" s="3"/>
    </row>
    <row r="4" spans="1:8" x14ac:dyDescent="0.2">
      <c r="A4" s="5" t="s">
        <v>366</v>
      </c>
      <c r="B4" s="15" t="s">
        <v>367</v>
      </c>
    </row>
    <row r="6" spans="1:8" x14ac:dyDescent="0.2">
      <c r="A6" s="8" t="s">
        <v>368</v>
      </c>
      <c r="B6" s="8" t="s">
        <v>345</v>
      </c>
      <c r="C6" s="8" t="s">
        <v>369</v>
      </c>
      <c r="D6" s="8" t="s">
        <v>370</v>
      </c>
      <c r="E6" s="8" t="s">
        <v>371</v>
      </c>
      <c r="F6" s="8" t="s">
        <v>372</v>
      </c>
      <c r="G6" s="8" t="s">
        <v>373</v>
      </c>
      <c r="H6" s="8" t="s">
        <v>127</v>
      </c>
    </row>
    <row r="7" spans="1:8" x14ac:dyDescent="0.2">
      <c r="A7" s="9" t="s">
        <v>374</v>
      </c>
      <c r="B7" s="9" t="s">
        <v>351</v>
      </c>
      <c r="C7" s="12">
        <v>1842</v>
      </c>
      <c r="D7" s="16">
        <f t="shared" ref="D7:D13" si="0">C7/SUM($C$7:$C$13)</f>
        <v>0.15849251419721219</v>
      </c>
      <c r="E7" s="12">
        <v>1.2</v>
      </c>
      <c r="F7" s="12">
        <v>221</v>
      </c>
      <c r="G7" s="9" t="s">
        <v>375</v>
      </c>
      <c r="H7" s="10"/>
    </row>
    <row r="8" spans="1:8" x14ac:dyDescent="0.2">
      <c r="A8" s="9" t="s">
        <v>376</v>
      </c>
      <c r="B8" s="9" t="s">
        <v>351</v>
      </c>
      <c r="C8" s="12">
        <v>3280</v>
      </c>
      <c r="D8" s="16">
        <f t="shared" si="0"/>
        <v>0.28222336947169163</v>
      </c>
      <c r="E8" s="12">
        <v>4.84</v>
      </c>
      <c r="F8" s="12">
        <v>1587</v>
      </c>
      <c r="G8" s="9" t="s">
        <v>163</v>
      </c>
      <c r="H8" s="10"/>
    </row>
    <row r="9" spans="1:8" x14ac:dyDescent="0.2">
      <c r="A9" s="9" t="s">
        <v>377</v>
      </c>
      <c r="B9" s="9" t="s">
        <v>351</v>
      </c>
      <c r="C9" s="12">
        <v>1420</v>
      </c>
      <c r="D9" s="16">
        <f t="shared" si="0"/>
        <v>0.12218206849079333</v>
      </c>
      <c r="E9" s="12">
        <v>8.24</v>
      </c>
      <c r="F9" s="12">
        <v>1170</v>
      </c>
      <c r="G9" s="9" t="s">
        <v>163</v>
      </c>
      <c r="H9" s="10"/>
    </row>
    <row r="10" spans="1:8" x14ac:dyDescent="0.2">
      <c r="A10" s="9" t="s">
        <v>378</v>
      </c>
      <c r="B10" s="9" t="s">
        <v>351</v>
      </c>
      <c r="C10" s="12">
        <v>1280</v>
      </c>
      <c r="D10" s="16">
        <f t="shared" si="0"/>
        <v>0.11013594906212355</v>
      </c>
      <c r="E10" s="12">
        <v>8.64</v>
      </c>
      <c r="F10" s="12">
        <v>1106</v>
      </c>
      <c r="G10" s="9" t="s">
        <v>163</v>
      </c>
      <c r="H10" s="10"/>
    </row>
    <row r="11" spans="1:8" x14ac:dyDescent="0.2">
      <c r="A11" s="9" t="s">
        <v>379</v>
      </c>
      <c r="B11" s="9" t="s">
        <v>351</v>
      </c>
      <c r="C11" s="12">
        <v>2140</v>
      </c>
      <c r="D11" s="16">
        <f t="shared" si="0"/>
        <v>0.18413353983823783</v>
      </c>
      <c r="E11" s="12">
        <v>0</v>
      </c>
      <c r="F11" s="12">
        <v>0</v>
      </c>
      <c r="G11" s="9" t="s">
        <v>380</v>
      </c>
      <c r="H11" s="10"/>
    </row>
    <row r="12" spans="1:8" x14ac:dyDescent="0.2">
      <c r="A12" s="9" t="s">
        <v>381</v>
      </c>
      <c r="B12" s="9" t="s">
        <v>351</v>
      </c>
      <c r="C12" s="12">
        <v>420</v>
      </c>
      <c r="D12" s="16">
        <f t="shared" si="0"/>
        <v>3.6138358286009295E-2</v>
      </c>
      <c r="E12" s="12">
        <v>7.84</v>
      </c>
      <c r="F12" s="12">
        <v>329</v>
      </c>
      <c r="G12" s="9" t="s">
        <v>163</v>
      </c>
      <c r="H12" s="10"/>
    </row>
    <row r="13" spans="1:8" x14ac:dyDescent="0.2">
      <c r="A13" s="9" t="s">
        <v>382</v>
      </c>
      <c r="B13" s="9" t="s">
        <v>351</v>
      </c>
      <c r="C13" s="12">
        <v>1240</v>
      </c>
      <c r="D13" s="16">
        <f t="shared" si="0"/>
        <v>0.1066942006539322</v>
      </c>
      <c r="E13" s="12">
        <v>7.42</v>
      </c>
      <c r="F13" s="12">
        <v>920</v>
      </c>
      <c r="G13" s="9" t="s">
        <v>383</v>
      </c>
      <c r="H13" s="10"/>
    </row>
    <row r="14" spans="1:8" x14ac:dyDescent="0.2">
      <c r="A14" s="9" t="s">
        <v>384</v>
      </c>
      <c r="B14" s="9"/>
      <c r="C14" s="14">
        <f>SUM(C7:C13)</f>
        <v>11622</v>
      </c>
      <c r="D14" s="17">
        <f>SUM(D7:D13)</f>
        <v>1</v>
      </c>
      <c r="E14" s="9"/>
      <c r="F14" s="14">
        <f>SUM(F7:F13)</f>
        <v>5333</v>
      </c>
      <c r="G14" s="9"/>
      <c r="H14" s="9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6" customWidth="1"/>
    <col min="2" max="2" width="22" customWidth="1"/>
    <col min="3" max="3" width="12" customWidth="1"/>
    <col min="4" max="4" width="16" customWidth="1"/>
    <col min="5" max="5" width="20" customWidth="1"/>
    <col min="6" max="6" width="22" customWidth="1"/>
    <col min="7" max="7" width="30" customWidth="1"/>
  </cols>
  <sheetData>
    <row r="1" spans="1:7" ht="21.75" customHeight="1" x14ac:dyDescent="0.25">
      <c r="A1" s="4" t="s">
        <v>385</v>
      </c>
      <c r="B1" s="4"/>
      <c r="C1" s="4"/>
      <c r="D1" s="4"/>
      <c r="E1" s="4"/>
      <c r="F1" s="4"/>
      <c r="G1" s="4"/>
    </row>
    <row r="2" spans="1:7" ht="15.75" customHeight="1" x14ac:dyDescent="0.2">
      <c r="A2" s="3" t="s">
        <v>113</v>
      </c>
      <c r="B2" s="3"/>
      <c r="C2" s="3"/>
      <c r="D2" s="3"/>
      <c r="E2" s="3"/>
      <c r="F2" s="3"/>
      <c r="G2" s="3"/>
    </row>
    <row r="4" spans="1:7" x14ac:dyDescent="0.2">
      <c r="A4" s="8" t="s">
        <v>386</v>
      </c>
      <c r="B4" s="8" t="s">
        <v>387</v>
      </c>
      <c r="C4" s="8" t="s">
        <v>345</v>
      </c>
      <c r="D4" s="8" t="s">
        <v>388</v>
      </c>
      <c r="E4" s="8" t="s">
        <v>389</v>
      </c>
      <c r="F4" s="8" t="s">
        <v>390</v>
      </c>
      <c r="G4" s="8" t="s">
        <v>127</v>
      </c>
    </row>
    <row r="5" spans="1:7" x14ac:dyDescent="0.2">
      <c r="A5" s="9" t="s">
        <v>391</v>
      </c>
      <c r="B5" s="9" t="s">
        <v>392</v>
      </c>
      <c r="C5" s="9" t="s">
        <v>351</v>
      </c>
      <c r="D5" s="12">
        <v>16021</v>
      </c>
      <c r="E5" s="12">
        <v>17800</v>
      </c>
      <c r="F5" s="9" t="s">
        <v>393</v>
      </c>
      <c r="G5" s="10"/>
    </row>
    <row r="6" spans="1:7" x14ac:dyDescent="0.2">
      <c r="A6" s="9" t="s">
        <v>394</v>
      </c>
      <c r="B6" s="9" t="s">
        <v>395</v>
      </c>
      <c r="C6" s="9" t="s">
        <v>351</v>
      </c>
      <c r="D6" s="12">
        <v>9240</v>
      </c>
      <c r="E6" s="12">
        <v>10200</v>
      </c>
      <c r="F6" s="9" t="s">
        <v>396</v>
      </c>
      <c r="G6" s="10"/>
    </row>
    <row r="7" spans="1:7" x14ac:dyDescent="0.2">
      <c r="A7" s="9" t="s">
        <v>397</v>
      </c>
      <c r="B7" s="9" t="s">
        <v>398</v>
      </c>
      <c r="C7" s="9" t="s">
        <v>351</v>
      </c>
      <c r="D7" s="12">
        <v>3640</v>
      </c>
      <c r="E7" s="12">
        <v>4200</v>
      </c>
      <c r="F7" s="9" t="s">
        <v>399</v>
      </c>
      <c r="G7" s="10"/>
    </row>
    <row r="8" spans="1:7" x14ac:dyDescent="0.2">
      <c r="A8" s="9" t="s">
        <v>400</v>
      </c>
      <c r="B8" s="9" t="s">
        <v>401</v>
      </c>
      <c r="C8" s="9" t="s">
        <v>351</v>
      </c>
      <c r="D8" s="12">
        <v>980</v>
      </c>
      <c r="E8" s="12">
        <v>1100</v>
      </c>
      <c r="F8" s="9" t="s">
        <v>402</v>
      </c>
      <c r="G8" s="10"/>
    </row>
    <row r="9" spans="1:7" x14ac:dyDescent="0.2">
      <c r="A9" s="9" t="s">
        <v>403</v>
      </c>
      <c r="B9" s="9" t="s">
        <v>404</v>
      </c>
      <c r="C9" s="9" t="s">
        <v>351</v>
      </c>
      <c r="D9" s="12">
        <v>284</v>
      </c>
      <c r="E9" s="12">
        <v>320</v>
      </c>
      <c r="F9" s="9" t="s">
        <v>405</v>
      </c>
      <c r="G9" s="10"/>
    </row>
    <row r="10" spans="1:7" x14ac:dyDescent="0.2">
      <c r="A10" s="9" t="s">
        <v>406</v>
      </c>
      <c r="B10" s="9" t="s">
        <v>407</v>
      </c>
      <c r="C10" s="9" t="s">
        <v>351</v>
      </c>
      <c r="D10" s="12">
        <v>1480</v>
      </c>
      <c r="E10" s="12">
        <v>1680</v>
      </c>
      <c r="F10" s="9" t="s">
        <v>408</v>
      </c>
      <c r="G10" s="10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26" customWidth="1"/>
    <col min="3" max="3" width="20" customWidth="1"/>
    <col min="4" max="4" width="28" customWidth="1"/>
    <col min="5" max="5" width="30" customWidth="1"/>
  </cols>
  <sheetData>
    <row r="1" spans="1:5" ht="21.75" customHeight="1" x14ac:dyDescent="0.25">
      <c r="A1" s="4" t="s">
        <v>409</v>
      </c>
      <c r="B1" s="4"/>
      <c r="C1" s="4"/>
      <c r="D1" s="4"/>
      <c r="E1" s="4"/>
    </row>
    <row r="2" spans="1:5" ht="15.75" customHeight="1" x14ac:dyDescent="0.2">
      <c r="A2" s="3" t="s">
        <v>113</v>
      </c>
      <c r="B2" s="3"/>
      <c r="C2" s="3"/>
      <c r="D2" s="3"/>
      <c r="E2" s="3"/>
    </row>
    <row r="4" spans="1:5" x14ac:dyDescent="0.2">
      <c r="A4" s="8" t="s">
        <v>345</v>
      </c>
      <c r="B4" s="8" t="s">
        <v>410</v>
      </c>
      <c r="C4" s="8" t="s">
        <v>411</v>
      </c>
      <c r="D4" s="8" t="s">
        <v>412</v>
      </c>
      <c r="E4" s="8" t="s">
        <v>127</v>
      </c>
    </row>
    <row r="5" spans="1:5" x14ac:dyDescent="0.2">
      <c r="A5" s="9" t="s">
        <v>413</v>
      </c>
      <c r="B5" s="12">
        <v>1840</v>
      </c>
      <c r="C5" s="12">
        <v>2840</v>
      </c>
      <c r="D5" s="9" t="s">
        <v>414</v>
      </c>
      <c r="E5" s="10"/>
    </row>
    <row r="6" spans="1:5" x14ac:dyDescent="0.2">
      <c r="A6" s="9" t="s">
        <v>415</v>
      </c>
      <c r="B6" s="12">
        <v>2280</v>
      </c>
      <c r="C6" s="12">
        <v>3420</v>
      </c>
      <c r="D6" s="9" t="s">
        <v>416</v>
      </c>
      <c r="E6" s="10"/>
    </row>
    <row r="7" spans="1:5" x14ac:dyDescent="0.2">
      <c r="A7" s="9" t="s">
        <v>417</v>
      </c>
      <c r="B7" s="12">
        <v>2840</v>
      </c>
      <c r="C7" s="12">
        <v>4180</v>
      </c>
      <c r="D7" s="9" t="s">
        <v>418</v>
      </c>
      <c r="E7" s="10"/>
    </row>
    <row r="8" spans="1:5" x14ac:dyDescent="0.2">
      <c r="A8" s="9" t="s">
        <v>419</v>
      </c>
      <c r="B8" s="12">
        <v>3480</v>
      </c>
      <c r="C8" s="12">
        <v>5120</v>
      </c>
      <c r="D8" s="9" t="s">
        <v>420</v>
      </c>
      <c r="E8" s="10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4" width="16" customWidth="1"/>
    <col min="5" max="5" width="14" customWidth="1"/>
    <col min="6" max="6" width="16" customWidth="1"/>
    <col min="7" max="7" width="22" customWidth="1"/>
    <col min="8" max="8" width="18" customWidth="1"/>
    <col min="9" max="9" width="30" customWidth="1"/>
  </cols>
  <sheetData>
    <row r="1" spans="1:9" ht="21.75" customHeight="1" x14ac:dyDescent="0.25">
      <c r="A1" s="4" t="s">
        <v>421</v>
      </c>
      <c r="B1" s="4"/>
      <c r="C1" s="4"/>
      <c r="D1" s="4"/>
      <c r="E1" s="4"/>
      <c r="F1" s="4"/>
      <c r="G1" s="4"/>
      <c r="H1" s="4"/>
      <c r="I1" s="4"/>
    </row>
    <row r="2" spans="1:9" ht="15.75" customHeight="1" x14ac:dyDescent="0.2">
      <c r="A2" s="3" t="s">
        <v>113</v>
      </c>
      <c r="B2" s="3"/>
      <c r="C2" s="3"/>
      <c r="D2" s="3"/>
      <c r="E2" s="3"/>
      <c r="F2" s="3"/>
      <c r="G2" s="3"/>
      <c r="H2" s="3"/>
      <c r="I2" s="3"/>
    </row>
    <row r="4" spans="1:9" x14ac:dyDescent="0.2">
      <c r="A4" s="8" t="s">
        <v>422</v>
      </c>
      <c r="B4" s="8" t="s">
        <v>345</v>
      </c>
      <c r="C4" s="8" t="s">
        <v>423</v>
      </c>
      <c r="D4" s="8" t="s">
        <v>424</v>
      </c>
      <c r="E4" s="8" t="s">
        <v>425</v>
      </c>
      <c r="F4" s="8" t="s">
        <v>426</v>
      </c>
      <c r="G4" s="8" t="s">
        <v>427</v>
      </c>
      <c r="H4" s="8" t="s">
        <v>428</v>
      </c>
      <c r="I4" s="8" t="s">
        <v>127</v>
      </c>
    </row>
    <row r="5" spans="1:9" x14ac:dyDescent="0.2">
      <c r="A5" s="9" t="s">
        <v>367</v>
      </c>
      <c r="B5" s="9" t="s">
        <v>351</v>
      </c>
      <c r="C5" s="12">
        <v>8.1999999999999993</v>
      </c>
      <c r="D5" s="12">
        <v>12.4</v>
      </c>
      <c r="E5" s="12">
        <v>0.66</v>
      </c>
      <c r="F5" s="12">
        <v>12.8</v>
      </c>
      <c r="G5" s="12">
        <v>8.4</v>
      </c>
      <c r="H5" s="12">
        <v>2.4</v>
      </c>
      <c r="I5" s="10"/>
    </row>
    <row r="6" spans="1:9" x14ac:dyDescent="0.2">
      <c r="A6" s="9" t="s">
        <v>429</v>
      </c>
      <c r="B6" s="9" t="s">
        <v>351</v>
      </c>
      <c r="C6" s="12">
        <v>18.600000000000001</v>
      </c>
      <c r="D6" s="12">
        <v>22.8</v>
      </c>
      <c r="E6" s="12">
        <v>0.82</v>
      </c>
      <c r="F6" s="12">
        <v>16.399999999999999</v>
      </c>
      <c r="G6" s="12">
        <v>3.2</v>
      </c>
      <c r="H6" s="12">
        <v>3.2</v>
      </c>
      <c r="I6" s="10"/>
    </row>
    <row r="7" spans="1:9" x14ac:dyDescent="0.2">
      <c r="A7" s="9" t="s">
        <v>430</v>
      </c>
      <c r="B7" s="9" t="s">
        <v>351</v>
      </c>
      <c r="C7" s="12">
        <v>28.4</v>
      </c>
      <c r="D7" s="12">
        <v>34.200000000000003</v>
      </c>
      <c r="E7" s="12">
        <v>0.83</v>
      </c>
      <c r="F7" s="12">
        <v>21.2</v>
      </c>
      <c r="G7" s="12">
        <v>2.8</v>
      </c>
      <c r="H7" s="12">
        <v>4.0999999999999996</v>
      </c>
      <c r="I7" s="10"/>
    </row>
    <row r="8" spans="1:9" x14ac:dyDescent="0.2">
      <c r="A8" s="9" t="s">
        <v>431</v>
      </c>
      <c r="B8" s="9" t="s">
        <v>351</v>
      </c>
      <c r="C8" s="12">
        <v>32.799999999999997</v>
      </c>
      <c r="D8" s="12">
        <v>40.6</v>
      </c>
      <c r="E8" s="12">
        <v>0.81</v>
      </c>
      <c r="F8" s="12">
        <v>24.8</v>
      </c>
      <c r="G8" s="12">
        <v>2.4</v>
      </c>
      <c r="H8" s="12">
        <v>5.2</v>
      </c>
      <c r="I8" s="10"/>
    </row>
    <row r="9" spans="1:9" x14ac:dyDescent="0.2">
      <c r="A9" s="9" t="s">
        <v>432</v>
      </c>
      <c r="B9" s="9" t="s">
        <v>351</v>
      </c>
      <c r="C9" s="12">
        <v>22.4</v>
      </c>
      <c r="D9" s="12">
        <v>28.8</v>
      </c>
      <c r="E9" s="12">
        <v>0.78</v>
      </c>
      <c r="F9" s="12">
        <v>18.600000000000001</v>
      </c>
      <c r="G9" s="12">
        <v>4.2</v>
      </c>
      <c r="H9" s="12">
        <v>3.8</v>
      </c>
      <c r="I9" s="10"/>
    </row>
    <row r="10" spans="1:9" x14ac:dyDescent="0.2">
      <c r="A10" s="9" t="s">
        <v>433</v>
      </c>
      <c r="B10" s="9" t="s">
        <v>163</v>
      </c>
      <c r="C10" s="9">
        <v>12</v>
      </c>
      <c r="D10" s="9">
        <v>20</v>
      </c>
      <c r="E10" s="9">
        <v>0.6</v>
      </c>
      <c r="F10" s="9">
        <v>15</v>
      </c>
      <c r="G10" s="9" t="s">
        <v>163</v>
      </c>
      <c r="H10" s="9">
        <v>2</v>
      </c>
      <c r="I10" s="10" t="s">
        <v>434</v>
      </c>
    </row>
    <row r="11" spans="1:9" x14ac:dyDescent="0.2">
      <c r="A11" s="9" t="s">
        <v>435</v>
      </c>
      <c r="B11" s="9" t="s">
        <v>351</v>
      </c>
      <c r="C11" s="12">
        <v>10.199999999999999</v>
      </c>
      <c r="D11" s="12">
        <v>14.8</v>
      </c>
      <c r="E11" s="12">
        <v>0.69</v>
      </c>
      <c r="F11" s="12">
        <v>9.8000000000000007</v>
      </c>
      <c r="G11" s="12">
        <v>18</v>
      </c>
      <c r="H11" s="12">
        <v>1.8</v>
      </c>
      <c r="I11" s="10" t="s">
        <v>436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6" customWidth="1"/>
    <col min="2" max="2" width="12" customWidth="1"/>
    <col min="3" max="3" width="14" customWidth="1"/>
    <col min="4" max="5" width="16" customWidth="1"/>
    <col min="6" max="6" width="14" customWidth="1"/>
    <col min="7" max="7" width="24" customWidth="1"/>
    <col min="8" max="8" width="14" customWidth="1"/>
    <col min="9" max="9" width="30" customWidth="1"/>
  </cols>
  <sheetData>
    <row r="1" spans="1:9" ht="21.75" customHeight="1" x14ac:dyDescent="0.25">
      <c r="A1" s="4" t="s">
        <v>437</v>
      </c>
      <c r="B1" s="4"/>
      <c r="C1" s="4"/>
      <c r="D1" s="4"/>
      <c r="E1" s="4"/>
      <c r="F1" s="4"/>
      <c r="G1" s="4"/>
      <c r="H1" s="4"/>
      <c r="I1" s="4"/>
    </row>
    <row r="2" spans="1:9" ht="15.75" customHeight="1" x14ac:dyDescent="0.2">
      <c r="A2" s="3" t="s">
        <v>113</v>
      </c>
      <c r="B2" s="3"/>
      <c r="C2" s="3"/>
      <c r="D2" s="3"/>
      <c r="E2" s="3"/>
      <c r="F2" s="3"/>
      <c r="G2" s="3"/>
      <c r="H2" s="3"/>
      <c r="I2" s="3"/>
    </row>
    <row r="4" spans="1:9" x14ac:dyDescent="0.2">
      <c r="A4" s="8" t="s">
        <v>422</v>
      </c>
      <c r="B4" s="8" t="s">
        <v>345</v>
      </c>
      <c r="C4" s="8" t="s">
        <v>438</v>
      </c>
      <c r="D4" s="8" t="s">
        <v>439</v>
      </c>
      <c r="E4" s="8" t="s">
        <v>440</v>
      </c>
      <c r="F4" s="8" t="s">
        <v>441</v>
      </c>
      <c r="G4" s="8" t="s">
        <v>442</v>
      </c>
      <c r="H4" s="8" t="s">
        <v>443</v>
      </c>
      <c r="I4" s="8" t="s">
        <v>127</v>
      </c>
    </row>
    <row r="5" spans="1:9" x14ac:dyDescent="0.2">
      <c r="A5" s="9" t="s">
        <v>367</v>
      </c>
      <c r="B5" s="9" t="s">
        <v>351</v>
      </c>
      <c r="C5" s="12">
        <v>1.28</v>
      </c>
      <c r="D5" s="12">
        <v>442</v>
      </c>
      <c r="E5" s="12">
        <v>8842</v>
      </c>
      <c r="F5" s="12">
        <v>4280</v>
      </c>
      <c r="G5" s="12">
        <v>148400</v>
      </c>
      <c r="H5" s="12">
        <v>62800</v>
      </c>
      <c r="I5" s="10"/>
    </row>
    <row r="6" spans="1:9" x14ac:dyDescent="0.2">
      <c r="A6" s="9" t="s">
        <v>429</v>
      </c>
      <c r="B6" s="9" t="s">
        <v>351</v>
      </c>
      <c r="C6" s="12">
        <v>0.94</v>
      </c>
      <c r="D6" s="12">
        <v>248</v>
      </c>
      <c r="E6" s="12">
        <v>4280</v>
      </c>
      <c r="F6" s="12">
        <v>1840</v>
      </c>
      <c r="G6" s="12">
        <v>68200</v>
      </c>
      <c r="H6" s="12">
        <v>38400</v>
      </c>
      <c r="I6" s="10"/>
    </row>
    <row r="7" spans="1:9" x14ac:dyDescent="0.2">
      <c r="A7" s="9" t="s">
        <v>430</v>
      </c>
      <c r="B7" s="9" t="s">
        <v>351</v>
      </c>
      <c r="C7" s="12">
        <v>0.82</v>
      </c>
      <c r="D7" s="12">
        <v>312</v>
      </c>
      <c r="E7" s="12">
        <v>6480</v>
      </c>
      <c r="F7" s="12">
        <v>2180</v>
      </c>
      <c r="G7" s="12">
        <v>84800</v>
      </c>
      <c r="H7" s="12">
        <v>52400</v>
      </c>
      <c r="I7" s="10"/>
    </row>
    <row r="8" spans="1:9" x14ac:dyDescent="0.2">
      <c r="A8" s="9" t="s">
        <v>431</v>
      </c>
      <c r="B8" s="9" t="s">
        <v>351</v>
      </c>
      <c r="C8" s="12">
        <v>0.76</v>
      </c>
      <c r="D8" s="12">
        <v>284</v>
      </c>
      <c r="E8" s="12">
        <v>5640</v>
      </c>
      <c r="F8" s="12">
        <v>1920</v>
      </c>
      <c r="G8" s="12">
        <v>72400</v>
      </c>
      <c r="H8" s="12">
        <v>46800</v>
      </c>
      <c r="I8" s="10"/>
    </row>
    <row r="9" spans="1:9" x14ac:dyDescent="0.2">
      <c r="A9" s="9" t="s">
        <v>432</v>
      </c>
      <c r="B9" s="9" t="s">
        <v>351</v>
      </c>
      <c r="C9" s="12">
        <v>1.02</v>
      </c>
      <c r="D9" s="12">
        <v>194</v>
      </c>
      <c r="E9" s="12">
        <v>3840</v>
      </c>
      <c r="F9" s="12">
        <v>1480</v>
      </c>
      <c r="G9" s="12">
        <v>58200</v>
      </c>
      <c r="H9" s="12">
        <v>32200</v>
      </c>
      <c r="I9" s="10"/>
    </row>
    <row r="10" spans="1:9" x14ac:dyDescent="0.2">
      <c r="A10" s="9" t="s">
        <v>444</v>
      </c>
      <c r="B10" s="9" t="s">
        <v>163</v>
      </c>
      <c r="C10" s="9">
        <v>1.5</v>
      </c>
      <c r="D10" s="9" t="s">
        <v>163</v>
      </c>
      <c r="E10" s="9" t="s">
        <v>163</v>
      </c>
      <c r="F10" s="9" t="s">
        <v>163</v>
      </c>
      <c r="G10" s="9" t="s">
        <v>163</v>
      </c>
      <c r="H10" s="9" t="s">
        <v>163</v>
      </c>
      <c r="I10" s="10" t="s">
        <v>434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6" customWidth="1"/>
    <col min="2" max="2" width="12" customWidth="1"/>
    <col min="3" max="4" width="16" customWidth="1"/>
    <col min="5" max="5" width="30" customWidth="1"/>
  </cols>
  <sheetData>
    <row r="1" spans="1:5" ht="21.75" customHeight="1" x14ac:dyDescent="0.25">
      <c r="A1" s="4" t="s">
        <v>445</v>
      </c>
      <c r="B1" s="4"/>
      <c r="C1" s="4"/>
      <c r="D1" s="4"/>
      <c r="E1" s="4"/>
    </row>
    <row r="2" spans="1:5" ht="15.75" customHeight="1" x14ac:dyDescent="0.2">
      <c r="A2" s="3" t="s">
        <v>113</v>
      </c>
      <c r="B2" s="3"/>
      <c r="C2" s="3"/>
      <c r="D2" s="3"/>
      <c r="E2" s="3"/>
    </row>
    <row r="4" spans="1:5" x14ac:dyDescent="0.2">
      <c r="A4" s="8" t="s">
        <v>446</v>
      </c>
      <c r="B4" s="8" t="s">
        <v>345</v>
      </c>
      <c r="C4" s="8" t="s">
        <v>447</v>
      </c>
      <c r="D4" s="8" t="s">
        <v>448</v>
      </c>
      <c r="E4" s="8" t="s">
        <v>127</v>
      </c>
    </row>
    <row r="5" spans="1:5" x14ac:dyDescent="0.2">
      <c r="A5" s="9" t="s">
        <v>367</v>
      </c>
      <c r="B5" s="9" t="s">
        <v>351</v>
      </c>
      <c r="C5" s="12">
        <v>42800</v>
      </c>
      <c r="D5" s="12">
        <v>18240</v>
      </c>
      <c r="E5" s="10"/>
    </row>
    <row r="6" spans="1:5" x14ac:dyDescent="0.2">
      <c r="A6" s="9" t="s">
        <v>429</v>
      </c>
      <c r="B6" s="9" t="s">
        <v>351</v>
      </c>
      <c r="C6" s="12">
        <v>14200</v>
      </c>
      <c r="D6" s="12">
        <v>4280</v>
      </c>
      <c r="E6" s="10"/>
    </row>
    <row r="7" spans="1:5" x14ac:dyDescent="0.2">
      <c r="A7" s="9" t="s">
        <v>430</v>
      </c>
      <c r="B7" s="9" t="s">
        <v>351</v>
      </c>
      <c r="C7" s="12">
        <v>18400</v>
      </c>
      <c r="D7" s="12">
        <v>8240</v>
      </c>
      <c r="E7" s="10"/>
    </row>
    <row r="8" spans="1:5" x14ac:dyDescent="0.2">
      <c r="A8" s="9" t="s">
        <v>431</v>
      </c>
      <c r="B8" s="9" t="s">
        <v>351</v>
      </c>
      <c r="C8" s="12">
        <v>15800</v>
      </c>
      <c r="D8" s="12">
        <v>5640</v>
      </c>
      <c r="E8" s="10"/>
    </row>
    <row r="9" spans="1:5" x14ac:dyDescent="0.2">
      <c r="A9" s="9" t="s">
        <v>432</v>
      </c>
      <c r="B9" s="9" t="s">
        <v>351</v>
      </c>
      <c r="C9" s="12">
        <v>12400</v>
      </c>
      <c r="D9" s="12">
        <v>3840</v>
      </c>
      <c r="E9" s="10"/>
    </row>
    <row r="10" spans="1:5" x14ac:dyDescent="0.2">
      <c r="A10" s="9" t="s">
        <v>449</v>
      </c>
      <c r="B10" s="9" t="s">
        <v>351</v>
      </c>
      <c r="C10" s="12">
        <v>28400</v>
      </c>
      <c r="D10" s="12">
        <v>12480</v>
      </c>
      <c r="E10" s="10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6" customWidth="1"/>
    <col min="2" max="2" width="12" customWidth="1"/>
    <col min="3" max="3" width="20" customWidth="1"/>
    <col min="4" max="4" width="12" customWidth="1"/>
    <col min="5" max="5" width="14" customWidth="1"/>
    <col min="6" max="6" width="16" customWidth="1"/>
    <col min="7" max="7" width="22" customWidth="1"/>
    <col min="8" max="8" width="16" customWidth="1"/>
    <col min="9" max="9" width="20" customWidth="1"/>
    <col min="10" max="10" width="30" customWidth="1"/>
  </cols>
  <sheetData>
    <row r="1" spans="1:10" ht="21.75" customHeight="1" x14ac:dyDescent="0.25">
      <c r="A1" s="4" t="s">
        <v>450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 customHeight="1" x14ac:dyDescent="0.2">
      <c r="A2" s="3" t="s">
        <v>113</v>
      </c>
      <c r="B2" s="3"/>
      <c r="C2" s="3"/>
      <c r="D2" s="3"/>
      <c r="E2" s="3"/>
      <c r="F2" s="3"/>
      <c r="G2" s="3"/>
      <c r="H2" s="3"/>
      <c r="I2" s="3"/>
      <c r="J2" s="3"/>
    </row>
    <row r="4" spans="1:10" x14ac:dyDescent="0.2">
      <c r="A4" s="8" t="s">
        <v>451</v>
      </c>
      <c r="B4" s="8" t="s">
        <v>345</v>
      </c>
      <c r="C4" s="8" t="s">
        <v>452</v>
      </c>
      <c r="D4" s="8" t="s">
        <v>453</v>
      </c>
      <c r="E4" s="8" t="s">
        <v>454</v>
      </c>
      <c r="F4" s="8" t="s">
        <v>455</v>
      </c>
      <c r="G4" s="8" t="s">
        <v>456</v>
      </c>
      <c r="H4" s="8" t="s">
        <v>457</v>
      </c>
      <c r="I4" s="8" t="s">
        <v>458</v>
      </c>
      <c r="J4" s="8" t="s">
        <v>127</v>
      </c>
    </row>
    <row r="5" spans="1:10" x14ac:dyDescent="0.2">
      <c r="A5" s="9" t="s">
        <v>459</v>
      </c>
      <c r="B5" s="9" t="s">
        <v>351</v>
      </c>
      <c r="C5" s="12">
        <v>1740</v>
      </c>
      <c r="D5" s="12">
        <v>62.4</v>
      </c>
      <c r="E5" s="9" t="s">
        <v>460</v>
      </c>
      <c r="F5" s="12">
        <v>3800</v>
      </c>
      <c r="G5" s="12">
        <v>2780</v>
      </c>
      <c r="H5" s="12">
        <v>18</v>
      </c>
      <c r="I5" s="12">
        <v>3.82</v>
      </c>
      <c r="J5" s="10"/>
    </row>
    <row r="6" spans="1:10" x14ac:dyDescent="0.2">
      <c r="A6" s="9" t="s">
        <v>461</v>
      </c>
      <c r="B6" s="9" t="s">
        <v>351</v>
      </c>
      <c r="C6" s="12">
        <v>1700</v>
      </c>
      <c r="D6" s="12">
        <v>68.2</v>
      </c>
      <c r="E6" s="9" t="s">
        <v>462</v>
      </c>
      <c r="F6" s="12">
        <v>3900</v>
      </c>
      <c r="G6" s="12">
        <v>2720</v>
      </c>
      <c r="H6" s="12">
        <v>11</v>
      </c>
      <c r="I6" s="12">
        <v>3.74</v>
      </c>
      <c r="J6" s="10"/>
    </row>
    <row r="7" spans="1:10" x14ac:dyDescent="0.2">
      <c r="A7" s="9" t="s">
        <v>463</v>
      </c>
      <c r="B7" s="9" t="s">
        <v>351</v>
      </c>
      <c r="C7" s="12">
        <v>800</v>
      </c>
      <c r="D7" s="12">
        <v>71.8</v>
      </c>
      <c r="E7" s="9" t="s">
        <v>462</v>
      </c>
      <c r="F7" s="12">
        <v>3950</v>
      </c>
      <c r="G7" s="12">
        <v>2680</v>
      </c>
      <c r="H7" s="12">
        <v>8</v>
      </c>
      <c r="I7" s="12">
        <v>3.68</v>
      </c>
      <c r="J7" s="10"/>
    </row>
    <row r="8" spans="1:10" x14ac:dyDescent="0.2">
      <c r="A8" s="9" t="s">
        <v>464</v>
      </c>
      <c r="B8" s="9" t="s">
        <v>351</v>
      </c>
      <c r="C8" s="12">
        <v>1200</v>
      </c>
      <c r="D8" s="12">
        <v>74.2</v>
      </c>
      <c r="E8" s="9" t="s">
        <v>465</v>
      </c>
      <c r="F8" s="12">
        <v>5800</v>
      </c>
      <c r="G8" s="12">
        <v>2220</v>
      </c>
      <c r="H8" s="12">
        <v>6</v>
      </c>
      <c r="I8" s="12">
        <v>4.92</v>
      </c>
      <c r="J8" s="10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2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16" customWidth="1"/>
    <col min="3" max="3" width="32" customWidth="1"/>
    <col min="4" max="4" width="28" customWidth="1"/>
    <col min="5" max="5" width="26" customWidth="1"/>
    <col min="6" max="6" width="12" customWidth="1"/>
    <col min="7" max="7" width="16" customWidth="1"/>
    <col min="8" max="8" width="30" customWidth="1"/>
  </cols>
  <sheetData>
    <row r="1" spans="1:8" ht="21.75" customHeight="1" x14ac:dyDescent="0.25">
      <c r="A1" s="4" t="s">
        <v>466</v>
      </c>
      <c r="B1" s="4"/>
      <c r="C1" s="4"/>
      <c r="D1" s="4"/>
      <c r="E1" s="4"/>
      <c r="F1" s="4"/>
      <c r="G1" s="4"/>
      <c r="H1" s="4"/>
    </row>
    <row r="2" spans="1:8" ht="15.75" customHeight="1" x14ac:dyDescent="0.2">
      <c r="A2" s="3" t="s">
        <v>113</v>
      </c>
      <c r="B2" s="3"/>
      <c r="C2" s="3"/>
      <c r="D2" s="3"/>
      <c r="E2" s="3"/>
      <c r="F2" s="3"/>
      <c r="G2" s="3"/>
      <c r="H2" s="3"/>
    </row>
    <row r="4" spans="1:8" x14ac:dyDescent="0.2">
      <c r="A4" s="8" t="s">
        <v>467</v>
      </c>
      <c r="B4" s="8" t="s">
        <v>468</v>
      </c>
      <c r="C4" s="8" t="s">
        <v>152</v>
      </c>
      <c r="D4" s="8" t="s">
        <v>469</v>
      </c>
      <c r="E4" s="8" t="s">
        <v>470</v>
      </c>
      <c r="F4" s="8" t="s">
        <v>471</v>
      </c>
      <c r="G4" s="8" t="s">
        <v>472</v>
      </c>
      <c r="H4" s="8" t="s">
        <v>127</v>
      </c>
    </row>
    <row r="5" spans="1:8" x14ac:dyDescent="0.2">
      <c r="A5" s="9" t="s">
        <v>473</v>
      </c>
      <c r="B5" s="9" t="s">
        <v>474</v>
      </c>
      <c r="C5" s="9" t="s">
        <v>475</v>
      </c>
      <c r="D5" s="9" t="s">
        <v>476</v>
      </c>
      <c r="E5" s="9" t="s">
        <v>477</v>
      </c>
      <c r="F5" s="9" t="s">
        <v>420</v>
      </c>
      <c r="G5" s="10"/>
      <c r="H5" s="10"/>
    </row>
    <row r="6" spans="1:8" x14ac:dyDescent="0.2">
      <c r="A6" s="9" t="s">
        <v>478</v>
      </c>
      <c r="B6" s="9" t="s">
        <v>479</v>
      </c>
      <c r="C6" s="9" t="s">
        <v>480</v>
      </c>
      <c r="D6" s="9" t="s">
        <v>481</v>
      </c>
      <c r="E6" s="9" t="s">
        <v>482</v>
      </c>
      <c r="F6" s="9" t="s">
        <v>483</v>
      </c>
      <c r="G6" s="10"/>
      <c r="H6" s="10"/>
    </row>
    <row r="7" spans="1:8" x14ac:dyDescent="0.2">
      <c r="A7" s="9" t="s">
        <v>484</v>
      </c>
      <c r="B7" s="9" t="s">
        <v>485</v>
      </c>
      <c r="C7" s="9" t="s">
        <v>486</v>
      </c>
      <c r="D7" s="9" t="s">
        <v>487</v>
      </c>
      <c r="E7" s="9" t="s">
        <v>488</v>
      </c>
      <c r="F7" s="9" t="s">
        <v>489</v>
      </c>
      <c r="G7" s="10"/>
      <c r="H7" s="10"/>
    </row>
    <row r="8" spans="1:8" x14ac:dyDescent="0.2">
      <c r="A8" s="9" t="s">
        <v>490</v>
      </c>
      <c r="B8" s="9" t="s">
        <v>491</v>
      </c>
      <c r="C8" s="9" t="s">
        <v>492</v>
      </c>
      <c r="D8" s="9" t="s">
        <v>493</v>
      </c>
      <c r="E8" s="9" t="s">
        <v>494</v>
      </c>
      <c r="F8" s="9" t="s">
        <v>495</v>
      </c>
      <c r="G8" s="10"/>
      <c r="H8" s="10"/>
    </row>
    <row r="9" spans="1:8" x14ac:dyDescent="0.2">
      <c r="A9" s="9" t="s">
        <v>496</v>
      </c>
      <c r="B9" s="9" t="s">
        <v>497</v>
      </c>
      <c r="C9" s="9" t="s">
        <v>498</v>
      </c>
      <c r="D9" s="9" t="s">
        <v>499</v>
      </c>
      <c r="E9" s="9" t="s">
        <v>500</v>
      </c>
      <c r="F9" s="9" t="s">
        <v>495</v>
      </c>
      <c r="G9" s="10"/>
      <c r="H9" s="10"/>
    </row>
    <row r="10" spans="1:8" x14ac:dyDescent="0.2">
      <c r="A10" s="9" t="s">
        <v>501</v>
      </c>
      <c r="B10" s="9" t="s">
        <v>502</v>
      </c>
      <c r="C10" s="9" t="s">
        <v>503</v>
      </c>
      <c r="D10" s="9" t="s">
        <v>504</v>
      </c>
      <c r="E10" s="9" t="s">
        <v>505</v>
      </c>
      <c r="F10" s="9" t="s">
        <v>506</v>
      </c>
      <c r="G10" s="10"/>
      <c r="H10" s="10"/>
    </row>
    <row r="11" spans="1:8" x14ac:dyDescent="0.2">
      <c r="A11" s="9" t="s">
        <v>507</v>
      </c>
      <c r="B11" s="9" t="s">
        <v>508</v>
      </c>
      <c r="C11" s="9" t="s">
        <v>509</v>
      </c>
      <c r="D11" s="9" t="s">
        <v>510</v>
      </c>
      <c r="E11" s="9" t="s">
        <v>511</v>
      </c>
      <c r="F11" s="9" t="s">
        <v>512</v>
      </c>
      <c r="G11" s="10"/>
      <c r="H11" s="10"/>
    </row>
    <row r="12" spans="1:8" x14ac:dyDescent="0.2">
      <c r="A12" s="9" t="s">
        <v>513</v>
      </c>
      <c r="B12" s="9" t="s">
        <v>514</v>
      </c>
      <c r="C12" s="9" t="s">
        <v>515</v>
      </c>
      <c r="D12" s="9" t="s">
        <v>516</v>
      </c>
      <c r="E12" s="9" t="s">
        <v>517</v>
      </c>
      <c r="F12" s="9" t="s">
        <v>489</v>
      </c>
      <c r="G12" s="10"/>
      <c r="H12" s="10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1"/>
  <sheetViews>
    <sheetView zoomScaleNormal="100" workbookViewId="0"/>
  </sheetViews>
  <sheetFormatPr baseColWidth="10" defaultColWidth="8.6640625" defaultRowHeight="15" x14ac:dyDescent="0.2"/>
  <cols>
    <col min="1" max="1" width="32" customWidth="1"/>
    <col min="2" max="2" width="20" customWidth="1"/>
    <col min="3" max="3" width="18" customWidth="1"/>
    <col min="4" max="4" width="20" customWidth="1"/>
    <col min="5" max="5" width="30" customWidth="1"/>
  </cols>
  <sheetData>
    <row r="1" spans="1:6" ht="21.75" customHeight="1" x14ac:dyDescent="0.25">
      <c r="A1" s="4" t="s">
        <v>518</v>
      </c>
      <c r="B1" s="4"/>
      <c r="C1" s="4"/>
      <c r="D1" s="4"/>
      <c r="E1" s="4"/>
      <c r="F1" s="4"/>
    </row>
    <row r="2" spans="1:6" ht="15.75" customHeight="1" x14ac:dyDescent="0.2">
      <c r="A2" s="3" t="s">
        <v>113</v>
      </c>
      <c r="B2" s="3"/>
      <c r="C2" s="3"/>
      <c r="D2" s="3"/>
      <c r="E2" s="3"/>
      <c r="F2" s="3"/>
    </row>
    <row r="4" spans="1:6" x14ac:dyDescent="0.2">
      <c r="A4" s="5" t="s">
        <v>519</v>
      </c>
      <c r="B4" s="15">
        <v>0.82</v>
      </c>
      <c r="C4" s="13" t="s">
        <v>520</v>
      </c>
    </row>
    <row r="6" spans="1:6" x14ac:dyDescent="0.2">
      <c r="A6" s="11" t="s">
        <v>521</v>
      </c>
    </row>
    <row r="7" spans="1:6" x14ac:dyDescent="0.2">
      <c r="A7" s="8" t="s">
        <v>344</v>
      </c>
      <c r="B7" s="8" t="s">
        <v>522</v>
      </c>
      <c r="C7" s="8" t="s">
        <v>127</v>
      </c>
    </row>
    <row r="8" spans="1:6" x14ac:dyDescent="0.2">
      <c r="A8" s="9" t="s">
        <v>523</v>
      </c>
      <c r="B8" s="9">
        <v>19</v>
      </c>
      <c r="C8" s="10"/>
    </row>
    <row r="9" spans="1:6" x14ac:dyDescent="0.2">
      <c r="A9" s="9" t="s">
        <v>524</v>
      </c>
      <c r="B9" s="9">
        <v>13.4</v>
      </c>
      <c r="C9" s="10"/>
    </row>
    <row r="10" spans="1:6" x14ac:dyDescent="0.2">
      <c r="A10" s="9" t="s">
        <v>525</v>
      </c>
      <c r="B10" s="9">
        <v>5.9</v>
      </c>
      <c r="C10" s="10"/>
    </row>
    <row r="11" spans="1:6" x14ac:dyDescent="0.2">
      <c r="A11" s="9" t="s">
        <v>526</v>
      </c>
      <c r="B11" s="9">
        <v>19.7</v>
      </c>
      <c r="C11" s="10"/>
    </row>
    <row r="12" spans="1:6" x14ac:dyDescent="0.2">
      <c r="A12" s="9" t="s">
        <v>527</v>
      </c>
      <c r="B12" s="9">
        <v>3.4</v>
      </c>
      <c r="C12" s="10"/>
    </row>
    <row r="13" spans="1:6" x14ac:dyDescent="0.2">
      <c r="A13" s="9" t="s">
        <v>528</v>
      </c>
      <c r="B13" s="9">
        <v>38.6</v>
      </c>
      <c r="C13" s="10"/>
    </row>
    <row r="15" spans="1:6" x14ac:dyDescent="0.2">
      <c r="A15" s="11" t="s">
        <v>529</v>
      </c>
    </row>
    <row r="16" spans="1:6" x14ac:dyDescent="0.2">
      <c r="A16" s="8" t="s">
        <v>530</v>
      </c>
      <c r="B16" s="8" t="s">
        <v>531</v>
      </c>
      <c r="C16" s="8" t="s">
        <v>532</v>
      </c>
      <c r="D16" s="8" t="s">
        <v>533</v>
      </c>
      <c r="E16" s="8" t="s">
        <v>127</v>
      </c>
    </row>
    <row r="17" spans="1:5" x14ac:dyDescent="0.2">
      <c r="A17" s="9" t="s">
        <v>534</v>
      </c>
      <c r="B17" s="12">
        <v>0.4</v>
      </c>
      <c r="C17" s="12">
        <v>18400</v>
      </c>
      <c r="D17" s="12">
        <v>19.2</v>
      </c>
      <c r="E17" s="10"/>
    </row>
    <row r="18" spans="1:5" x14ac:dyDescent="0.2">
      <c r="A18" s="9" t="s">
        <v>535</v>
      </c>
      <c r="B18" s="12">
        <v>0.2</v>
      </c>
      <c r="C18" s="12">
        <v>9200</v>
      </c>
      <c r="D18" s="12">
        <v>9.6</v>
      </c>
      <c r="E18" s="10"/>
    </row>
    <row r="19" spans="1:5" x14ac:dyDescent="0.2">
      <c r="A19" s="9" t="s">
        <v>536</v>
      </c>
      <c r="B19" s="12">
        <v>1.2</v>
      </c>
      <c r="C19" s="12">
        <v>55200</v>
      </c>
      <c r="D19" s="12">
        <v>57.8</v>
      </c>
      <c r="E19" s="10"/>
    </row>
    <row r="20" spans="1:5" x14ac:dyDescent="0.2">
      <c r="A20" s="9" t="s">
        <v>537</v>
      </c>
      <c r="B20" s="12">
        <v>0.6</v>
      </c>
      <c r="C20" s="12">
        <v>27600</v>
      </c>
      <c r="D20" s="12">
        <v>28.9</v>
      </c>
      <c r="E20" s="10"/>
    </row>
    <row r="21" spans="1:5" x14ac:dyDescent="0.2">
      <c r="A21" s="9" t="s">
        <v>538</v>
      </c>
      <c r="B21" s="14">
        <f>SUM(B17:B20)</f>
        <v>2.4</v>
      </c>
      <c r="C21" s="14">
        <f>SUM(C17:C20)</f>
        <v>110400</v>
      </c>
      <c r="D21" s="14">
        <f>SUM(D17:D20)</f>
        <v>115.5</v>
      </c>
      <c r="E21" s="9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6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3" width="42" customWidth="1"/>
    <col min="4" max="4" width="14" customWidth="1"/>
    <col min="5" max="7" width="20" customWidth="1"/>
    <col min="8" max="8" width="14" customWidth="1"/>
  </cols>
  <sheetData>
    <row r="1" spans="1:8" ht="21.75" customHeight="1" x14ac:dyDescent="0.25">
      <c r="A1" s="4" t="s">
        <v>539</v>
      </c>
      <c r="B1" s="4"/>
      <c r="C1" s="4"/>
      <c r="D1" s="4"/>
      <c r="E1" s="4"/>
      <c r="F1" s="4"/>
      <c r="G1" s="4"/>
      <c r="H1" s="4"/>
    </row>
    <row r="2" spans="1:8" ht="15.75" customHeight="1" x14ac:dyDescent="0.2">
      <c r="A2" s="3" t="s">
        <v>113</v>
      </c>
      <c r="B2" s="3"/>
      <c r="C2" s="3"/>
      <c r="D2" s="3"/>
      <c r="E2" s="3"/>
      <c r="F2" s="3"/>
      <c r="G2" s="3"/>
      <c r="H2" s="3"/>
    </row>
    <row r="4" spans="1:8" x14ac:dyDescent="0.2">
      <c r="A4" s="8" t="s">
        <v>540</v>
      </c>
      <c r="B4" s="8" t="s">
        <v>467</v>
      </c>
      <c r="C4" s="8" t="s">
        <v>152</v>
      </c>
      <c r="D4" s="8" t="s">
        <v>541</v>
      </c>
      <c r="E4" s="8" t="s">
        <v>542</v>
      </c>
      <c r="F4" s="8" t="s">
        <v>543</v>
      </c>
      <c r="G4" s="8" t="s">
        <v>544</v>
      </c>
      <c r="H4" s="8" t="s">
        <v>234</v>
      </c>
    </row>
    <row r="5" spans="1:8" x14ac:dyDescent="0.2">
      <c r="A5" s="9" t="s">
        <v>545</v>
      </c>
      <c r="B5" s="9" t="s">
        <v>144</v>
      </c>
      <c r="C5" s="9" t="s">
        <v>546</v>
      </c>
      <c r="D5" s="9" t="s">
        <v>547</v>
      </c>
      <c r="E5" s="10"/>
      <c r="F5" s="10"/>
      <c r="G5" s="9" t="s">
        <v>548</v>
      </c>
      <c r="H5" s="9" t="s">
        <v>549</v>
      </c>
    </row>
    <row r="6" spans="1:8" x14ac:dyDescent="0.2">
      <c r="A6" s="9" t="s">
        <v>550</v>
      </c>
      <c r="B6" s="9" t="s">
        <v>200</v>
      </c>
      <c r="C6" s="9" t="s">
        <v>551</v>
      </c>
      <c r="D6" s="9" t="s">
        <v>547</v>
      </c>
      <c r="E6" s="10"/>
      <c r="F6" s="10"/>
      <c r="G6" s="9" t="s">
        <v>552</v>
      </c>
      <c r="H6" s="9" t="s">
        <v>549</v>
      </c>
    </row>
    <row r="7" spans="1:8" x14ac:dyDescent="0.2">
      <c r="A7" s="9" t="s">
        <v>553</v>
      </c>
      <c r="B7" s="9" t="s">
        <v>256</v>
      </c>
      <c r="C7" s="9" t="s">
        <v>554</v>
      </c>
      <c r="D7" s="9" t="s">
        <v>547</v>
      </c>
      <c r="E7" s="10"/>
      <c r="F7" s="10"/>
      <c r="G7" s="9" t="s">
        <v>555</v>
      </c>
      <c r="H7" s="9" t="s">
        <v>549</v>
      </c>
    </row>
    <row r="8" spans="1:8" x14ac:dyDescent="0.2">
      <c r="A8" s="9" t="s">
        <v>556</v>
      </c>
      <c r="B8" s="9" t="s">
        <v>136</v>
      </c>
      <c r="C8" s="9" t="s">
        <v>557</v>
      </c>
      <c r="D8" s="9" t="s">
        <v>558</v>
      </c>
      <c r="E8" s="10"/>
      <c r="F8" s="10"/>
      <c r="G8" s="9" t="s">
        <v>559</v>
      </c>
      <c r="H8" s="9" t="s">
        <v>560</v>
      </c>
    </row>
    <row r="9" spans="1:8" x14ac:dyDescent="0.2">
      <c r="A9" s="9" t="s">
        <v>561</v>
      </c>
      <c r="B9" s="9" t="s">
        <v>242</v>
      </c>
      <c r="C9" s="9" t="s">
        <v>562</v>
      </c>
      <c r="D9" s="9" t="s">
        <v>558</v>
      </c>
      <c r="E9" s="10"/>
      <c r="F9" s="10"/>
      <c r="G9" s="9" t="s">
        <v>563</v>
      </c>
      <c r="H9" s="9" t="s">
        <v>560</v>
      </c>
    </row>
    <row r="10" spans="1:8" x14ac:dyDescent="0.2">
      <c r="A10" s="9" t="s">
        <v>564</v>
      </c>
      <c r="B10" s="9" t="s">
        <v>198</v>
      </c>
      <c r="C10" s="9" t="s">
        <v>565</v>
      </c>
      <c r="D10" s="9" t="s">
        <v>558</v>
      </c>
      <c r="E10" s="10"/>
      <c r="F10" s="10"/>
      <c r="G10" s="9" t="s">
        <v>566</v>
      </c>
      <c r="H10" s="9" t="s">
        <v>560</v>
      </c>
    </row>
    <row r="11" spans="1:8" x14ac:dyDescent="0.2">
      <c r="A11" s="9" t="s">
        <v>567</v>
      </c>
      <c r="B11" s="9" t="s">
        <v>290</v>
      </c>
      <c r="C11" s="9" t="s">
        <v>568</v>
      </c>
      <c r="D11" s="9" t="s">
        <v>569</v>
      </c>
      <c r="E11" s="10"/>
      <c r="F11" s="10"/>
      <c r="G11" s="9" t="s">
        <v>570</v>
      </c>
      <c r="H11" s="9" t="s">
        <v>571</v>
      </c>
    </row>
    <row r="12" spans="1:8" x14ac:dyDescent="0.2">
      <c r="A12" s="9" t="s">
        <v>572</v>
      </c>
      <c r="B12" s="9" t="s">
        <v>573</v>
      </c>
      <c r="C12" s="9" t="s">
        <v>574</v>
      </c>
      <c r="D12" s="9" t="s">
        <v>569</v>
      </c>
      <c r="E12" s="10"/>
      <c r="F12" s="10"/>
      <c r="G12" s="9" t="s">
        <v>575</v>
      </c>
      <c r="H12" s="9" t="s">
        <v>571</v>
      </c>
    </row>
    <row r="15" spans="1:8" x14ac:dyDescent="0.2">
      <c r="A15" s="11" t="s">
        <v>576</v>
      </c>
    </row>
    <row r="16" spans="1:8" x14ac:dyDescent="0.2">
      <c r="A16" t="s">
        <v>577</v>
      </c>
      <c r="B16" s="15">
        <v>2.4</v>
      </c>
      <c r="C16" s="13" t="s">
        <v>578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32" customWidth="1"/>
    <col min="3" max="3" width="16" customWidth="1"/>
    <col min="4" max="4" width="12" customWidth="1"/>
    <col min="5" max="5" width="16" customWidth="1"/>
    <col min="6" max="6" width="22" customWidth="1"/>
  </cols>
  <sheetData>
    <row r="1" spans="1:6" ht="21.75" customHeight="1" x14ac:dyDescent="0.25">
      <c r="A1" s="4" t="s">
        <v>579</v>
      </c>
      <c r="B1" s="4"/>
      <c r="C1" s="4"/>
      <c r="D1" s="4"/>
      <c r="E1" s="4"/>
      <c r="F1" s="4"/>
    </row>
    <row r="2" spans="1:6" ht="15.75" customHeight="1" x14ac:dyDescent="0.2">
      <c r="A2" s="3" t="s">
        <v>113</v>
      </c>
      <c r="B2" s="3"/>
      <c r="C2" s="3"/>
      <c r="D2" s="3"/>
      <c r="E2" s="3"/>
      <c r="F2" s="3"/>
    </row>
    <row r="4" spans="1:6" x14ac:dyDescent="0.2">
      <c r="A4" s="8" t="s">
        <v>580</v>
      </c>
      <c r="B4" s="8" t="s">
        <v>581</v>
      </c>
      <c r="C4" s="8" t="s">
        <v>582</v>
      </c>
      <c r="D4" s="8" t="s">
        <v>583</v>
      </c>
      <c r="E4" s="8" t="s">
        <v>234</v>
      </c>
      <c r="F4" s="8" t="s">
        <v>584</v>
      </c>
    </row>
    <row r="5" spans="1:6" x14ac:dyDescent="0.2">
      <c r="A5" s="9" t="s">
        <v>144</v>
      </c>
      <c r="B5" s="9" t="s">
        <v>585</v>
      </c>
      <c r="C5" s="10"/>
      <c r="D5" s="9" t="s">
        <v>586</v>
      </c>
      <c r="E5" s="9" t="s">
        <v>549</v>
      </c>
      <c r="F5" s="10"/>
    </row>
    <row r="6" spans="1:6" x14ac:dyDescent="0.2">
      <c r="A6" s="9" t="s">
        <v>136</v>
      </c>
      <c r="B6" s="9" t="s">
        <v>587</v>
      </c>
      <c r="C6" s="10"/>
      <c r="D6" s="9" t="s">
        <v>588</v>
      </c>
      <c r="E6" s="9" t="s">
        <v>589</v>
      </c>
      <c r="F6" s="10"/>
    </row>
    <row r="7" spans="1:6" x14ac:dyDescent="0.2">
      <c r="A7" s="9" t="s">
        <v>256</v>
      </c>
      <c r="B7" s="9" t="s">
        <v>590</v>
      </c>
      <c r="C7" s="10"/>
      <c r="D7" s="9" t="s">
        <v>586</v>
      </c>
      <c r="E7" s="9" t="s">
        <v>560</v>
      </c>
      <c r="F7" s="10"/>
    </row>
    <row r="8" spans="1:6" x14ac:dyDescent="0.2">
      <c r="A8" s="9" t="s">
        <v>200</v>
      </c>
      <c r="B8" s="9" t="s">
        <v>591</v>
      </c>
      <c r="C8" s="10"/>
      <c r="D8" s="9" t="s">
        <v>588</v>
      </c>
      <c r="E8" s="9" t="s">
        <v>506</v>
      </c>
      <c r="F8" s="10"/>
    </row>
    <row r="9" spans="1:6" x14ac:dyDescent="0.2">
      <c r="A9" s="9" t="s">
        <v>242</v>
      </c>
      <c r="B9" s="9" t="s">
        <v>592</v>
      </c>
      <c r="C9" s="10"/>
      <c r="D9" s="9" t="s">
        <v>588</v>
      </c>
      <c r="E9" s="9" t="s">
        <v>593</v>
      </c>
      <c r="F9" s="10"/>
    </row>
    <row r="10" spans="1:6" x14ac:dyDescent="0.2">
      <c r="A10" s="9" t="s">
        <v>128</v>
      </c>
      <c r="B10" s="9" t="s">
        <v>594</v>
      </c>
      <c r="C10" s="10"/>
      <c r="D10" s="9" t="s">
        <v>595</v>
      </c>
      <c r="E10" s="9" t="s">
        <v>596</v>
      </c>
      <c r="F10" s="10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1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32" customWidth="1"/>
    <col min="3" max="3" width="14" customWidth="1"/>
    <col min="4" max="4" width="22" customWidth="1"/>
    <col min="5" max="5" width="14" customWidth="1"/>
    <col min="6" max="6" width="26" customWidth="1"/>
  </cols>
  <sheetData>
    <row r="1" spans="1:6" ht="21.75" customHeight="1" x14ac:dyDescent="0.25">
      <c r="A1" s="4" t="s">
        <v>597</v>
      </c>
      <c r="B1" s="4"/>
      <c r="C1" s="4"/>
      <c r="D1" s="4"/>
      <c r="E1" s="4"/>
      <c r="F1" s="4"/>
    </row>
    <row r="2" spans="1:6" ht="15.75" customHeight="1" x14ac:dyDescent="0.2">
      <c r="A2" s="3" t="s">
        <v>113</v>
      </c>
      <c r="B2" s="3"/>
      <c r="C2" s="3"/>
      <c r="D2" s="3"/>
      <c r="E2" s="3"/>
      <c r="F2" s="3"/>
    </row>
    <row r="4" spans="1:6" x14ac:dyDescent="0.2">
      <c r="A4" s="8" t="s">
        <v>467</v>
      </c>
      <c r="B4" s="8" t="s">
        <v>598</v>
      </c>
      <c r="C4" s="8" t="s">
        <v>599</v>
      </c>
      <c r="D4" s="8" t="s">
        <v>600</v>
      </c>
      <c r="E4" s="8" t="s">
        <v>601</v>
      </c>
      <c r="F4" s="8" t="s">
        <v>602</v>
      </c>
    </row>
    <row r="5" spans="1:6" x14ac:dyDescent="0.2">
      <c r="A5" s="9" t="s">
        <v>144</v>
      </c>
      <c r="B5" s="9" t="s">
        <v>603</v>
      </c>
      <c r="C5" s="9">
        <v>315</v>
      </c>
      <c r="D5" s="9" t="s">
        <v>604</v>
      </c>
      <c r="E5" s="9" t="s">
        <v>148</v>
      </c>
      <c r="F5" s="9" t="s">
        <v>605</v>
      </c>
    </row>
    <row r="6" spans="1:6" x14ac:dyDescent="0.2">
      <c r="A6" s="9" t="s">
        <v>198</v>
      </c>
      <c r="B6" s="9" t="s">
        <v>606</v>
      </c>
      <c r="C6" s="9">
        <v>280</v>
      </c>
      <c r="D6" s="9" t="s">
        <v>607</v>
      </c>
      <c r="E6" s="9" t="s">
        <v>420</v>
      </c>
      <c r="F6" s="9" t="s">
        <v>608</v>
      </c>
    </row>
    <row r="7" spans="1:6" x14ac:dyDescent="0.2">
      <c r="A7" s="9" t="s">
        <v>200</v>
      </c>
      <c r="B7" s="9" t="s">
        <v>609</v>
      </c>
      <c r="C7" s="9">
        <v>72</v>
      </c>
      <c r="D7" s="9" t="s">
        <v>610</v>
      </c>
      <c r="E7" s="9" t="s">
        <v>416</v>
      </c>
      <c r="F7" s="9" t="s">
        <v>611</v>
      </c>
    </row>
    <row r="8" spans="1:6" x14ac:dyDescent="0.2">
      <c r="A8" s="9" t="s">
        <v>290</v>
      </c>
      <c r="B8" s="9" t="s">
        <v>612</v>
      </c>
      <c r="C8" s="9" t="s">
        <v>163</v>
      </c>
      <c r="D8" s="9" t="s">
        <v>613</v>
      </c>
      <c r="E8" s="9" t="s">
        <v>416</v>
      </c>
      <c r="F8" s="9" t="s">
        <v>614</v>
      </c>
    </row>
    <row r="11" spans="1:6" ht="27.75" customHeight="1" x14ac:dyDescent="0.2">
      <c r="A11" s="1" t="s">
        <v>615</v>
      </c>
      <c r="B11" s="1"/>
      <c r="C11" s="1"/>
      <c r="D11" s="1"/>
      <c r="E11" s="1"/>
      <c r="F11" s="1"/>
    </row>
  </sheetData>
  <mergeCells count="3">
    <mergeCell ref="A1:F1"/>
    <mergeCell ref="A2:F2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00_README</vt:lpstr>
      <vt:lpstr>01_Transformers</vt:lpstr>
      <vt:lpstr>02_Lines_DLR</vt:lpstr>
      <vt:lpstr>03_Towers_Drone</vt:lpstr>
      <vt:lpstr>04_STATCOM_Substations</vt:lpstr>
      <vt:lpstr>05_SCADA_System</vt:lpstr>
      <vt:lpstr>06_PowerPurchase</vt:lpstr>
      <vt:lpstr>07_SalesMix</vt:lpstr>
      <vt:lpstr>08_Subsidy</vt:lpstr>
      <vt:lpstr>09_OpenAccess</vt:lpstr>
      <vt:lpstr>10_ESCOM_Reliability</vt:lpstr>
      <vt:lpstr>11_Network_Assets</vt:lpstr>
      <vt:lpstr>12_GFA_Debt</vt:lpstr>
      <vt:lpstr>13_ThermalStations</vt:lpstr>
      <vt:lpstr>14_EHS_Monitoring</vt:lpstr>
      <vt:lpstr>15_Carbon_Credits</vt:lpstr>
      <vt:lpstr>16_Incidents</vt:lpstr>
      <vt:lpstr>17_Maintenance</vt:lpstr>
      <vt:lpstr>18_Outage_Impact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Milind</cp:lastModifiedBy>
  <cp:revision>0</cp:revision>
  <dcterms:created xsi:type="dcterms:W3CDTF">2026-06-30T06:13:14Z</dcterms:created>
  <dcterms:modified xsi:type="dcterms:W3CDTF">2026-06-30T18:55:48Z</dcterms:modified>
  <dc:language>en-US</dc:language>
</cp:coreProperties>
</file>